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4cb488c9743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de7f849700e4259"/>
    <x:sheet xmlns:r="http://schemas.openxmlformats.org/officeDocument/2006/relationships" name="Participants" sheetId="2" r:id="R6a143b5288284f0a"/>
    <x:sheet xmlns:r="http://schemas.openxmlformats.org/officeDocument/2006/relationships" name="Task Log" sheetId="3" r:id="R027f883294aa4b12"/>
    <x:sheet xmlns:r="http://schemas.openxmlformats.org/officeDocument/2006/relationships" name="Observations" sheetId="4" r:id="Rbf297a9f6685436e"/>
    <x:sheet xmlns:r="http://schemas.openxmlformats.org/officeDocument/2006/relationships" name="Summary" sheetId="5" r:id="R0ce158fe131d45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yyyy-mm-dd hh:mm:ss"/>
    <x:numFmt numFmtId="202" formatCode="0"/>
    <x:numFmt numFmtId="203" formatCode="0.0"/>
    <x:numFmt numFmtId="204" formatCode="0%"/>
  </x:numFmts>
  <x:fonts count="5">
    <x:font>
      <x:sz val="11"/>
      <x:name val="Carlito"/>
    </x:font>
    <x:font>
      <x:b/>
      <x:sz val="16"/>
      <x:color rgb="FF1F2933"/>
      <x:name val="Microsoft JhengHei"/>
    </x:font>
    <x:font>
      <x:i/>
      <x:sz val="10"/>
      <x:color rgb="FF5B6770"/>
      <x:name val="Microsoft JhengHei"/>
    </x:font>
    <x:font>
      <x:b/>
      <x:sz val="10"/>
      <x:color rgb="FFFFFFFF"/>
      <x:name val="Microsoft JhengHei"/>
    </x:font>
    <x:font>
      <x:sz val="10"/>
      <x:color rgb="FF1F2933"/>
      <x:name val="Microsoft JhengHei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FFF"/>
      </x:patternFill>
    </x:fill>
    <x:fill>
      <x:patternFill patternType="solid">
        <x:fgColor rgb="FFFFF4CC"/>
      </x:patternFill>
    </x:fill>
    <x:fill>
      <x:patternFill patternType="solid">
        <x:fgColor rgb="FFEAF2F8"/>
      </x:patternFill>
    </x:fill>
  </x:fills>
  <x:borders count="7">
    <x:border/>
    <x:border>
      <x:bottom style="thin">
        <x:color rgb="FF234F73"/>
      </x:bottom>
    </x:border>
    <x:border>
      <x:right style="thin">
        <x:color rgb="FFFFFFFF"/>
      </x:right>
      <x:bottom style="medium">
        <x:color rgb="FF16324F"/>
      </x:bottom>
    </x:border>
    <x:border>
      <x:left style="thin">
        <x:color rgb="FFFFFFFF"/>
      </x:left>
      <x:bottom style="medium">
        <x:color rgb="FF16324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bottom style="medium">
        <x:color rgb="FF16324F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3" fillId="2" borderId="6" xfId="0" applyNumberFormat="1" applyFont="1" applyFill="1" applyBorder="1"/>
    <x:xf numFmtId="0" fontId="3" fillId="2" borderId="6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4" xfId="0" applyNumberFormat="1" applyFont="1" applyFill="1" applyBorder="1" applyAlignment="1">
      <x:alignment wrapText="0"/>
    </x:xf>
    <x:xf numFmtId="0" fontId="4" fillId="4" borderId="5" xfId="0" applyNumberFormat="1" applyFont="1" applyFill="1" applyBorder="1" applyAlignment="1">
      <x:alignment wrapText="0"/>
    </x:xf>
    <x:xf numFmtId="0" fontId="4" fillId="4" borderId="4" xfId="0" applyNumberFormat="1" applyFont="1" applyFill="1" applyBorder="1" applyAlignment="1">
      <x:alignment vertical="center" wrapText="0"/>
    </x:xf>
    <x:xf numFmtId="0" fontId="4" fillId="4" borderId="5" xfId="0" applyNumberFormat="1" applyFont="1" applyFill="1" applyBorder="1" applyAlignment="1">
      <x:alignment vertical="center" wrapText="0"/>
    </x:xf>
    <x:xf numFmtId="0" fontId="4" fillId="3" borderId="4" xfId="0" applyNumberFormat="1" applyFont="1" applyFill="1" applyBorder="1" applyAlignment="1">
      <x:alignment wrapText="0"/>
    </x:xf>
    <x:xf numFmtId="0" fontId="4" fillId="3" borderId="5" xfId="0" applyNumberFormat="1" applyFont="1" applyFill="1" applyBorder="1" applyAlignment="1">
      <x:alignment wrapText="0"/>
    </x:xf>
    <x:xf numFmtId="0" fontId="4" fillId="3" borderId="4" xfId="0" applyNumberFormat="1" applyFont="1" applyFill="1" applyBorder="1" applyAlignment="1">
      <x:alignment vertical="center" wrapText="0"/>
    </x:xf>
    <x:xf numFmtId="0" fontId="4" fillId="3" borderId="5" xfId="0" applyNumberFormat="1" applyFont="1" applyFill="1" applyBorder="1" applyAlignment="1">
      <x:alignment vertical="center" wrapText="0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200" fontId="4" fillId="4" borderId="4" xfId="0" applyNumberFormat="1" applyFont="1" applyFill="1" applyBorder="1" applyAlignment="1">
      <x:alignment vertical="center" wrapText="0"/>
    </x:xf>
    <x:xf numFmtId="200" fontId="4" fillId="4" borderId="5" xfId="0" applyNumberFormat="1" applyFont="1" applyFill="1" applyBorder="1" applyAlignment="1">
      <x:alignment vertical="center" wrapText="0"/>
    </x:xf>
    <x:xf numFmtId="0" fontId="4" fillId="5" borderId="4" xfId="0" applyNumberFormat="1" applyFont="1" applyFill="1" applyBorder="1" applyAlignment="1">
      <x:alignment vertical="center" wrapText="0"/>
    </x:xf>
    <x:xf numFmtId="0" fontId="4" fillId="5" borderId="5" xfId="0" applyNumberFormat="1" applyFont="1" applyFill="1" applyBorder="1" applyAlignment="1">
      <x:alignment vertical="center" wrapText="0"/>
    </x:xf>
    <x:xf numFmtId="201" fontId="4" fillId="4" borderId="4" xfId="0" applyNumberFormat="1" applyFont="1" applyFill="1" applyBorder="1" applyAlignment="1">
      <x:alignment vertical="center" wrapText="0"/>
    </x:xf>
    <x:xf numFmtId="201" fontId="4" fillId="4" borderId="5" xfId="0" applyNumberFormat="1" applyFont="1" applyFill="1" applyBorder="1" applyAlignment="1">
      <x:alignment vertical="center" wrapText="0"/>
    </x:xf>
    <x:xf numFmtId="202" fontId="4" fillId="5" borderId="4" xfId="0" applyNumberFormat="1" applyFont="1" applyFill="1" applyBorder="1" applyAlignment="1">
      <x:alignment vertical="center" wrapText="0"/>
    </x:xf>
    <x:xf numFmtId="202" fontId="4" fillId="5" borderId="5" xfId="0" applyNumberFormat="1" applyFont="1" applyFill="1" applyBorder="1" applyAlignment="1">
      <x:alignment vertical="center" wrapText="0"/>
    </x:xf>
    <x:xf numFmtId="203" fontId="4" fillId="5" borderId="4" xfId="0" applyNumberFormat="1" applyFont="1" applyFill="1" applyBorder="1" applyAlignment="1">
      <x:alignment vertical="center" wrapText="0"/>
    </x:xf>
    <x:xf numFmtId="203" fontId="4" fillId="5" borderId="5" xfId="0" applyNumberFormat="1" applyFont="1" applyFill="1" applyBorder="1" applyAlignment="1">
      <x:alignment vertical="center" wrapText="0"/>
    </x:xf>
    <x:xf numFmtId="202" fontId="4" fillId="4" borderId="4" xfId="0" applyNumberFormat="1" applyFont="1" applyFill="1" applyBorder="1" applyAlignment="1">
      <x:alignment vertical="top" wrapText="1"/>
    </x:xf>
    <x:xf numFmtId="202" fontId="4" fillId="4" borderId="5" xfId="0" applyNumberFormat="1" applyFont="1" applyFill="1" applyBorder="1" applyAlignment="1">
      <x:alignment vertical="top" wrapText="1"/>
    </x:xf>
    <x:xf numFmtId="203" fontId="4" fillId="4" borderId="4" xfId="0" applyNumberFormat="1" applyFont="1" applyFill="1" applyBorder="1" applyAlignment="1">
      <x:alignment vertical="top" wrapText="1"/>
    </x:xf>
    <x:xf numFmtId="203" fontId="4" fillId="4" borderId="5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0" fontId="4" fillId="5" borderId="5" xfId="0" applyNumberFormat="1" applyFont="1" applyFill="1" applyBorder="1" applyAlignment="1">
      <x:alignment vertical="top" wrapText="1"/>
    </x:xf>
    <x:xf numFmtId="204" fontId="4" fillId="5" borderId="5" xfId="0" applyNumberFormat="1" applyFont="1" applyFill="1" applyBorder="1" applyAlignment="1">
      <x:alignment vertical="top" wrapText="1"/>
    </x:xf>
    <x:xf numFmtId="203" fontId="4" fillId="5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F2933"/>
      </x:font>
      <x:fill>
        <x:patternFill patternType="solid">
          <x:bgColor rgb="FFFCE5CD"/>
        </x:patternFill>
      </x:fill>
    </x:dxf>
    <x:dxf>
      <x:font>
        <x:b/>
        <x:color rgb="FF1F2933"/>
      </x:font>
      <x:fill>
        <x:patternFill patternType="solid">
          <x:bgColor rgb="FFF4CCCC"/>
        </x:patternFill>
      </x:fill>
    </x:dxf>
    <x:dxf>
      <x:font>
        <x:b/>
        <x:color rgb="FF1F293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00ddf85be34ce2" /><Relationship Type="http://schemas.openxmlformats.org/officeDocument/2006/relationships/theme" Target="/xl/theme/theme1.xml" Id="R515ad4c8d1c6435c" /><Relationship Type="http://schemas.openxmlformats.org/officeDocument/2006/relationships/sharedStrings" Target="/xl/sharedStrings.xml" Id="R0b5bdf6a36654923" /><Relationship Type="http://schemas.openxmlformats.org/officeDocument/2006/relationships/worksheet" Target="/xl/worksheets/sheet1.xml" Id="Rcde7f849700e4259" /><Relationship Type="http://schemas.openxmlformats.org/officeDocument/2006/relationships/worksheet" Target="/xl/worksheets/sheet2.xml" Id="R6a143b5288284f0a" /><Relationship Type="http://schemas.openxmlformats.org/officeDocument/2006/relationships/worksheet" Target="/xl/worksheets/sheet3.xml" Id="R027f883294aa4b12" /><Relationship Type="http://schemas.openxmlformats.org/officeDocument/2006/relationships/worksheet" Target="/xl/worksheets/sheet4.xml" Id="Rbf297a9f6685436e" /><Relationship Type="http://schemas.openxmlformats.org/officeDocument/2006/relationships/worksheet" Target="/xl/worksheets/sheet5.xml" Id="R0ce158fe131d45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 ht="22" customHeight="1">
      <x:c r="A1" s="1" t="str">
        <x:v>OWM Course Mode W09 至 W10 真人 Pilot 紀錄表</x:v>
      </x:c>
    </x:row>
    <x:row r="2" ht="22" customHeight="1">
      <x:c r="A2" s="2" t="str">
        <x:v>v1.0｜適用 3.59.0-student-quick-start｜本檔預設不含真人資料</x:v>
      </x:c>
    </x:row>
    <x:row r="3" ht="22" customHeight="1">
      <x:c r="A3" s="3"/>
      <x:c r="B3" s="3"/>
    </x:row>
    <x:row r="4" ht="38" customHeight="1">
      <x:c r="A4" s="12" t="str">
        <x:v>使用順序</x:v>
      </x:c>
      <x:c r="B4" s="13" t="str">
        <x:v>操作</x:v>
      </x:c>
    </x:row>
    <x:row r="5" ht="15" hidden="0" customHeight="1">
      <x:c r="A5" s="20" t="str">
        <x:v>1</x:v>
      </x:c>
      <x:c r="B5" s="20" t="str">
        <x:v>先在 Participants 建立 P01 至 P05 等匿名代碼；不得輸入姓名、學號或 Email。</x:v>
      </x:c>
    </x:row>
    <x:row r="6" ht="15" hidden="0" customHeight="1">
      <x:c r="A6" s="21" t="str">
        <x:v>2</x:v>
      </x:c>
      <x:c r="B6" s="21" t="str">
        <x:v>每位參與者用同一裝置依序完成 W09、W10；每週在 Task Log 建立一列。</x:v>
      </x:c>
    </x:row>
    <x:row r="7" ht="15" hidden="0" customHeight="1">
      <x:c r="A7" s="21" t="str">
        <x:v>3</x:v>
      </x:c>
      <x:c r="B7" s="21" t="str">
        <x:v>只在重要摩擦、求助、誤觸或關鍵原話發生時新增 Observations；不做 continuous telemetry。</x:v>
      </x:c>
    </x:row>
    <x:row r="8" ht="15" hidden="0" customHeight="1">
      <x:c r="A8" s="21" t="str">
        <x:v>4</x:v>
      </x:c>
      <x:c r="B8" s="21" t="str">
        <x:v>Session 結束後填吸引力、順暢性、severity 與 Course Record 匿名檔名。</x:v>
      </x:c>
    </x:row>
    <x:row r="9" ht="15" hidden="0" customHeight="1">
      <x:c r="A9" s="21" t="str">
        <x:v>5</x:v>
      </x:c>
      <x:c r="B9" s="21" t="str">
        <x:v>到 Summary 檢查資料完整度與 pilot gate；回到原始 rows 確認任何結論。</x:v>
      </x:c>
    </x:row>
    <x:row r="10" ht="15" hidden="0" customHeight="1">
      <x:c r="A10" s="21" t="str">
        <x:v>6</x:v>
      </x:c>
      <x:c r="B10" s="21" t="str">
        <x:v>真人結果檔不得推送公開 Git repository；保留原始 export，不直接覆寫。</x:v>
      </x:c>
    </x:row>
    <x:row r="11"/>
    <x:row r="12" ht="15" hidden="0" customHeight="1">
      <x:c r="A12" s="12" t="str">
        <x:v>欄位定義</x:v>
      </x:c>
      <x:c r="B12" s="13" t="str">
        <x:v>一致規則</x:v>
      </x:c>
    </x:row>
    <x:row r="13" ht="15" hidden="0" customHeight="1">
      <x:c r="A13" s="20" t="str">
        <x:v>First Action</x:v>
      </x:c>
      <x:c r="B13" s="20" t="str">
        <x:v>第一次會推進任務的操作；純 scroll、語言切換或只讀文字不計。</x:v>
      </x:c>
    </x:row>
    <x:row r="14" ht="15" hidden="0" customHeight="1">
      <x:c r="A14" s="21" t="str">
        <x:v>Completion Time</x:v>
      </x:c>
      <x:c r="B14" s="21" t="str">
        <x:v>從該週 Start 到完成；未完成仍填停止時間，Completed 填 No。</x:v>
      </x:c>
    </x:row>
    <x:row r="15" ht="15" hidden="0" customHeight="1">
      <x:c r="A15" s="21" t="str">
        <x:v>Assistance</x:v>
      </x:c>
      <x:c r="B15" s="21" t="str">
        <x:v>主持人提供一次最小提示計 1。</x:v>
      </x:c>
    </x:row>
    <x:row r="16" ht="15" hidden="0" customHeight="1">
      <x:c r="A16" s="21" t="str">
        <x:v>Backtrack</x:v>
      </x:c>
      <x:c r="B16" s="21" t="str">
        <x:v>因方向錯誤返回前一個 view 或重走流程；正常 Evidence 分頁切換不計。</x:v>
      </x:c>
    </x:row>
    <x:row r="17" ht="15" hidden="0" customHeight="1">
      <x:c r="A17" s="21" t="str">
        <x:v>Mistap</x:v>
      </x:c>
      <x:c r="B17" s="21" t="str">
        <x:v>點擊非預期 target、disabled control，或因 touch target 問題立即撤回。</x:v>
      </x:c>
    </x:row>
    <x:row r="18" ht="15" hidden="0" customHeight="1">
      <x:c r="A18" s="21" t="str">
        <x:v>Stuck</x:v>
      </x:c>
      <x:c r="B18" s="21" t="str">
        <x:v>約 20 秒無可見進展，且參與者表示不知道下一步。</x:v>
      </x:c>
    </x:row>
    <x:row r="19" ht="15" hidden="0" customHeight="1">
      <x:c r="A19" s="21" t="str">
        <x:v>P0</x:v>
      </x:c>
      <x:c r="B19" s="21" t="str">
        <x:v>無法繼續、資料遺失、嚴重錯誤或安全關鍵流程被繞過。</x:v>
      </x:c>
    </x:row>
    <x:row r="20" ht="15" hidden="0" customHeight="1">
      <x:c r="A20" s="21" t="str">
        <x:v>P1</x:v>
      </x:c>
      <x:c r="B20" s="21" t="str">
        <x:v>只有主持人介入才能繼續，或核心任務／export 受阻。</x:v>
      </x:c>
    </x:row>
    <x:row r="21" ht="15" hidden="0" customHeight="1">
      <x:c r="A21" s="21" t="str">
        <x:v>P2</x:v>
      </x:c>
      <x:c r="B21" s="21" t="str">
        <x:v>可自行恢復的摩擦、文案誤解、視覺或觸控問題。</x:v>
      </x:c>
    </x:row>
    <x:row r="22"/>
    <x:row r="23" ht="15" hidden="0" customHeight="1">
      <x:c r="A23" s="12" t="str">
        <x:v>證據邊界</x:v>
      </x:c>
      <x:c r="B23" s="13" t="str">
        <x:v>用途</x:v>
      </x:c>
    </x:row>
    <x:row r="24" ht="15" hidden="0" customHeight="1">
      <x:c r="A24" s="20" t="str">
        <x:v>Human observation</x:v>
      </x:c>
      <x:c r="B24" s="20" t="str">
        <x:v>可用於本輪 usability diagnosis；每項結論需回指 participant、week 與 observation row。</x:v>
      </x:c>
    </x:row>
    <x:row r="25" ht="15" hidden="0" customHeight="1">
      <x:c r="A25" s="21" t="str">
        <x:v>Course Record</x:v>
      </x:c>
      <x:c r="B25" s="21" t="str">
        <x:v>Client-local schema evidence；不是 tamper-evident 正式成績證明。</x:v>
      </x:c>
    </x:row>
    <x:row r="26" ht="15" hidden="0" customHeight="1">
      <x:c r="A26" s="21" t="str">
        <x:v>Automated tests</x:v>
      </x:c>
      <x:c r="B26" s="21" t="str">
        <x:v>只證明 software behavior，不證明學生理解、吸引力或學習成效。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4F73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16" hidden="0" customWidth="1"/>
    <x:col min="5" max="5" width="16" hidden="0" customWidth="1"/>
    <x:col min="6" max="6" width="16" hidden="0" customWidth="1"/>
    <x:col min="7" max="7" width="42" hidden="0" customWidth="1"/>
  </x:cols>
  <x:sheetData>
    <x:row r="1" ht="22" customHeight="1">
      <x:c r="A1" s="1" t="str">
        <x:v>Participants</x:v>
      </x:c>
    </x:row>
    <x:row r="2" ht="22" customHeight="1">
      <x:c r="A2" s="2" t="str">
        <x:v>一位參與者一列；只有 Included=Yes 的匿名資料進入 Summary</x:v>
      </x:c>
    </x:row>
    <x:row r="3" ht="22" customHeight="1">
      <x:c r="A3" s="3"/>
      <x:c r="B3" s="3"/>
      <x:c r="C3" s="3"/>
      <x:c r="D3" s="3"/>
      <x:c r="E3" s="3"/>
      <x:c r="F3" s="3"/>
      <x:c r="G3" s="3"/>
    </x:row>
    <x:row r="4" ht="38" customHeight="1">
      <x:c r="A4" s="12" t="str">
        <x:v>Participant Code</x:v>
      </x:c>
      <x:c r="B4" s="25" t="str">
        <x:v>Device</x:v>
      </x:c>
      <x:c r="C4" s="25" t="str">
        <x:v>Browser</x:v>
      </x:c>
      <x:c r="D4" s="25" t="str">
        <x:v>Included</x:v>
      </x:c>
      <x:c r="E4" s="25" t="str">
        <x:v>W09 Complete</x:v>
      </x:c>
      <x:c r="F4" s="25" t="str">
        <x:v>W10 Complete</x:v>
      </x:c>
      <x:c r="G4" s="13" t="str">
        <x:v>Notes No PII</x:v>
      </x:c>
    </x:row>
    <x:row r="5" ht="32" customHeight="1">
      <x:c r="A5" s="42"/>
      <x:c r="B5" s="32"/>
      <x:c r="C5" s="32"/>
      <x:c r="D5" s="32"/>
      <x:c r="E5" s="36" t="str">
        <x:f>IF(A5="","",IF(COUNTIFS('Task Log'!$A$5:$A$104,A5,'Task Log'!$C$5:$C$104,"W09",'Task Log'!$L$5:$L$104,"Yes")&gt;0,"Yes","No"))</x:f>
      </x:c>
      <x:c r="F5" s="36" t="str">
        <x:f>IF(A5="","",IF(COUNTIFS('Task Log'!$A$5:$A$104,A5,'Task Log'!$C$5:$C$104,"W10",'Task Log'!$L$5:$L$104,"Yes")&gt;0,"Yes","No"))</x:f>
      </x:c>
      <x:c r="G5" s="40"/>
    </x:row>
    <x:row r="6" ht="32" customHeight="1">
      <x:c r="A6" s="43"/>
      <x:c r="B6" s="33"/>
      <x:c r="C6" s="33"/>
      <x:c r="D6" s="33"/>
      <x:c r="E6" s="37" t="str">
        <x:f>IF(A6="","",IF(COUNTIFS('Task Log'!$A$5:$A$104,A6,'Task Log'!$C$5:$C$104,"W09",'Task Log'!$L$5:$L$104,"Yes")&gt;0,"Yes","No"))</x:f>
      </x:c>
      <x:c r="F6" s="37" t="str">
        <x:f>IF(A6="","",IF(COUNTIFS('Task Log'!$A$5:$A$104,A6,'Task Log'!$C$5:$C$104,"W10",'Task Log'!$L$5:$L$104,"Yes")&gt;0,"Yes","No"))</x:f>
      </x:c>
      <x:c r="G6" s="41"/>
    </x:row>
    <x:row r="7" ht="32" customHeight="1">
      <x:c r="A7" s="43"/>
      <x:c r="B7" s="33"/>
      <x:c r="C7" s="33"/>
      <x:c r="D7" s="33"/>
      <x:c r="E7" s="37" t="str">
        <x:f>IF(A7="","",IF(COUNTIFS('Task Log'!$A$5:$A$104,A7,'Task Log'!$C$5:$C$104,"W09",'Task Log'!$L$5:$L$104,"Yes")&gt;0,"Yes","No"))</x:f>
      </x:c>
      <x:c r="F7" s="37" t="str">
        <x:f>IF(A7="","",IF(COUNTIFS('Task Log'!$A$5:$A$104,A7,'Task Log'!$C$5:$C$104,"W10",'Task Log'!$L$5:$L$104,"Yes")&gt;0,"Yes","No"))</x:f>
      </x:c>
      <x:c r="G7" s="41"/>
    </x:row>
    <x:row r="8" ht="32" customHeight="1">
      <x:c r="A8" s="43"/>
      <x:c r="B8" s="33"/>
      <x:c r="C8" s="33"/>
      <x:c r="D8" s="33"/>
      <x:c r="E8" s="37" t="str">
        <x:f>IF(A8="","",IF(COUNTIFS('Task Log'!$A$5:$A$104,A8,'Task Log'!$C$5:$C$104,"W09",'Task Log'!$L$5:$L$104,"Yes")&gt;0,"Yes","No"))</x:f>
      </x:c>
      <x:c r="F8" s="37" t="str">
        <x:f>IF(A8="","",IF(COUNTIFS('Task Log'!$A$5:$A$104,A8,'Task Log'!$C$5:$C$104,"W10",'Task Log'!$L$5:$L$104,"Yes")&gt;0,"Yes","No"))</x:f>
      </x:c>
      <x:c r="G8" s="41"/>
    </x:row>
    <x:row r="9" ht="32" customHeight="1">
      <x:c r="A9" s="43"/>
      <x:c r="B9" s="33"/>
      <x:c r="C9" s="33"/>
      <x:c r="D9" s="33"/>
      <x:c r="E9" s="37" t="str">
        <x:f>IF(A9="","",IF(COUNTIFS('Task Log'!$A$5:$A$104,A9,'Task Log'!$C$5:$C$104,"W09",'Task Log'!$L$5:$L$104,"Yes")&gt;0,"Yes","No"))</x:f>
      </x:c>
      <x:c r="F9" s="37" t="str">
        <x:f>IF(A9="","",IF(COUNTIFS('Task Log'!$A$5:$A$104,A9,'Task Log'!$C$5:$C$104,"W10",'Task Log'!$L$5:$L$104,"Yes")&gt;0,"Yes","No"))</x:f>
      </x:c>
      <x:c r="G9" s="41"/>
    </x:row>
  </x:sheetData>
  <x:dataValidations count="2">
    <x:dataValidation type="list" sqref="B5:B9">
      <x:formula1>"Desktop,Mobile"</x:formula1>
    </x:dataValidation>
    <x:dataValidation type="list" sqref="D5:D9">
      <x:formula1>"Yes,No"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E7A93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16" hidden="0" customWidth="1"/>
    <x:col min="5" max="5" width="25" hidden="0" customWidth="1"/>
    <x:col min="6" max="6" width="28" hidden="0" customWidth="1"/>
    <x:col min="7" max="7" width="20" hidden="0" customWidth="1"/>
    <x:col min="8" max="8" width="20" hidden="0" customWidth="1"/>
    <x:col min="9" max="9" width="14" hidden="0" customWidth="1"/>
    <x:col min="10" max="10" width="22" hidden="0" customWidth="1"/>
    <x:col min="11" max="11" width="15" hidden="0" customWidth="1"/>
    <x:col min="12" max="12" width="13" hidden="0" customWidth="1"/>
    <x:col min="13" max="13" width="13" hidden="0" customWidth="1"/>
    <x:col min="14" max="14" width="13" hidden="0" customWidth="1"/>
    <x:col min="15" max="15" width="11" hidden="0" customWidth="1"/>
    <x:col min="16" max="16" width="10" hidden="0" customWidth="1"/>
    <x:col min="17" max="17" width="17" hidden="0" customWidth="1"/>
    <x:col min="18" max="18" width="16" hidden="0" customWidth="1"/>
    <x:col min="19" max="19" width="17" hidden="0" customWidth="1"/>
    <x:col min="20" max="20" width="34" hidden="0" customWidth="1"/>
    <x:col min="21" max="21" width="46" hidden="0" customWidth="1"/>
  </x:cols>
  <x:sheetData>
    <x:row r="1" ht="22" customHeight="1">
      <x:c r="A1" s="1" t="str">
        <x:v>Task Log</x:v>
      </x:c>
    </x:row>
    <x:row r="2" ht="22" customHeight="1">
      <x:c r="A2" s="2" t="str">
        <x:v>每位 participant 建立 W09 與 W10 各一列；黃色欄位由主持人輸入，藍色欄位為公式</x:v>
      </x:c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</x:row>
    <x:row r="4" ht="38" customHeight="1">
      <x:c r="A4" s="12" t="str">
        <x:v>Participant Code</x:v>
      </x:c>
      <x:c r="B4" s="25" t="str">
        <x:v>Device</x:v>
      </x:c>
      <x:c r="C4" s="25" t="str">
        <x:v>Week</x:v>
      </x:c>
      <x:c r="D4" s="25" t="str">
        <x:v>Browser</x:v>
      </x:c>
      <x:c r="E4" s="25" t="str">
        <x:v>Release Version</x:v>
      </x:c>
      <x:c r="F4" s="25" t="str">
        <x:v>Config Version</x:v>
      </x:c>
      <x:c r="G4" s="25" t="str">
        <x:v>Start Time</x:v>
      </x:c>
      <x:c r="H4" s="25" t="str">
        <x:v>First Action Time</x:v>
      </x:c>
      <x:c r="I4" s="25" t="str">
        <x:v>First Action s</x:v>
      </x:c>
      <x:c r="J4" s="25" t="str">
        <x:v>Complete or Stop Time</x:v>
      </x:c>
      <x:c r="K4" s="25" t="str">
        <x:v>Completion min</x:v>
      </x:c>
      <x:c r="L4" s="25" t="str">
        <x:v>Completed</x:v>
      </x:c>
      <x:c r="M4" s="25" t="str">
        <x:v>Assistance</x:v>
      </x:c>
      <x:c r="N4" s="25" t="str">
        <x:v>Backtrack</x:v>
      </x:c>
      <x:c r="O4" s="25" t="str">
        <x:v>Mistap</x:v>
      </x:c>
      <x:c r="P4" s="25" t="str">
        <x:v>Stuck</x:v>
      </x:c>
      <x:c r="Q4" s="25" t="str">
        <x:v>Highest Severity</x:v>
      </x:c>
      <x:c r="R4" s="25" t="str">
        <x:v>Attraction 1 to 5</x:v>
      </x:c>
      <x:c r="S4" s="25" t="str">
        <x:v>Smoothness 1 to 5</x:v>
      </x:c>
      <x:c r="T4" s="25" t="str">
        <x:v>Course Record File</x:v>
      </x:c>
      <x:c r="U4" s="13" t="str">
        <x:v>Notes No PII</x:v>
      </x:c>
    </x:row>
    <x:row r="5" ht="30" customHeight="1">
      <x:c r="A5" s="42"/>
      <x:c r="B5" s="42"/>
      <x:c r="C5" s="42"/>
      <x:c r="D5" s="42"/>
      <x:c r="E5" s="42"/>
      <x:c r="F5" s="42"/>
      <x:c r="G5" s="46"/>
      <x:c r="H5" s="46"/>
      <x:c r="I5" s="48" t="str">
        <x:f>IF(OR(G5="",H5=""),"",ROUND((H5-G5)*86400,0))</x:f>
      </x:c>
      <x:c r="J5" s="46"/>
      <x:c r="K5" s="50" t="str">
        <x:f>IF(OR(G5="",J5=""),"",ROUND((J5-G5)*1440,1))</x:f>
      </x:c>
      <x:c r="L5" s="40"/>
      <x:c r="M5" s="52"/>
      <x:c r="N5" s="52"/>
      <x:c r="O5" s="52"/>
      <x:c r="P5" s="52"/>
      <x:c r="Q5" s="40"/>
      <x:c r="R5" s="40"/>
      <x:c r="S5" s="40"/>
      <x:c r="T5" s="40"/>
      <x:c r="U5" s="40"/>
    </x:row>
    <x:row r="6" ht="30" customHeight="1">
      <x:c r="A6" s="43"/>
      <x:c r="B6" s="43"/>
      <x:c r="C6" s="43"/>
      <x:c r="D6" s="43"/>
      <x:c r="E6" s="43"/>
      <x:c r="F6" s="43"/>
      <x:c r="G6" s="47"/>
      <x:c r="H6" s="47"/>
      <x:c r="I6" s="49" t="str">
        <x:f>IF(OR(G6="",H6=""),"",ROUND((H6-G6)*86400,0))</x:f>
      </x:c>
      <x:c r="J6" s="47"/>
      <x:c r="K6" s="51" t="str">
        <x:f>IF(OR(G6="",J6=""),"",ROUND((J6-G6)*1440,1))</x:f>
      </x:c>
      <x:c r="L6" s="41"/>
      <x:c r="M6" s="53"/>
      <x:c r="N6" s="53"/>
      <x:c r="O6" s="53"/>
      <x:c r="P6" s="53"/>
      <x:c r="Q6" s="41"/>
      <x:c r="R6" s="41"/>
      <x:c r="S6" s="41"/>
      <x:c r="T6" s="41"/>
      <x:c r="U6" s="41"/>
    </x:row>
    <x:row r="7" ht="30" customHeight="1">
      <x:c r="A7" s="43"/>
      <x:c r="B7" s="43"/>
      <x:c r="C7" s="43"/>
      <x:c r="D7" s="43"/>
      <x:c r="E7" s="43"/>
      <x:c r="F7" s="43"/>
      <x:c r="G7" s="47"/>
      <x:c r="H7" s="47"/>
      <x:c r="I7" s="49" t="str">
        <x:f>IF(OR(G7="",H7=""),"",ROUND((H7-G7)*86400,0))</x:f>
      </x:c>
      <x:c r="J7" s="47"/>
      <x:c r="K7" s="51" t="str">
        <x:f>IF(OR(G7="",J7=""),"",ROUND((J7-G7)*1440,1))</x:f>
      </x:c>
      <x:c r="L7" s="41"/>
      <x:c r="M7" s="53"/>
      <x:c r="N7" s="53"/>
      <x:c r="O7" s="53"/>
      <x:c r="P7" s="53"/>
      <x:c r="Q7" s="41"/>
      <x:c r="R7" s="41"/>
      <x:c r="S7" s="41"/>
      <x:c r="T7" s="41"/>
      <x:c r="U7" s="41"/>
    </x:row>
    <x:row r="8" ht="30" customHeight="1">
      <x:c r="A8" s="43"/>
      <x:c r="B8" s="43"/>
      <x:c r="C8" s="43"/>
      <x:c r="D8" s="43"/>
      <x:c r="E8" s="43"/>
      <x:c r="F8" s="43"/>
      <x:c r="G8" s="47"/>
      <x:c r="H8" s="47"/>
      <x:c r="I8" s="49" t="str">
        <x:f>IF(OR(G8="",H8=""),"",ROUND((H8-G8)*86400,0))</x:f>
      </x:c>
      <x:c r="J8" s="47"/>
      <x:c r="K8" s="51" t="str">
        <x:f>IF(OR(G8="",J8=""),"",ROUND((J8-G8)*1440,1))</x:f>
      </x:c>
      <x:c r="L8" s="41"/>
      <x:c r="M8" s="53"/>
      <x:c r="N8" s="53"/>
      <x:c r="O8" s="53"/>
      <x:c r="P8" s="53"/>
      <x:c r="Q8" s="41"/>
      <x:c r="R8" s="41"/>
      <x:c r="S8" s="41"/>
      <x:c r="T8" s="41"/>
      <x:c r="U8" s="41"/>
    </x:row>
    <x:row r="9" ht="30" customHeight="1">
      <x:c r="A9" s="43"/>
      <x:c r="B9" s="43"/>
      <x:c r="C9" s="43"/>
      <x:c r="D9" s="43"/>
      <x:c r="E9" s="43"/>
      <x:c r="F9" s="43"/>
      <x:c r="G9" s="47"/>
      <x:c r="H9" s="47"/>
      <x:c r="I9" s="49" t="str">
        <x:f>IF(OR(G9="",H9=""),"",ROUND((H9-G9)*86400,0))</x:f>
      </x:c>
      <x:c r="J9" s="47"/>
      <x:c r="K9" s="51" t="str">
        <x:f>IF(OR(G9="",J9=""),"",ROUND((J9-G9)*1440,1))</x:f>
      </x:c>
      <x:c r="L9" s="41"/>
      <x:c r="M9" s="53"/>
      <x:c r="N9" s="53"/>
      <x:c r="O9" s="53"/>
      <x:c r="P9" s="53"/>
      <x:c r="Q9" s="41"/>
      <x:c r="R9" s="41"/>
      <x:c r="S9" s="41"/>
      <x:c r="T9" s="41"/>
      <x:c r="U9" s="41"/>
    </x:row>
    <x:row r="10" ht="30" customHeight="1">
      <x:c r="A10" s="43"/>
      <x:c r="B10" s="43"/>
      <x:c r="C10" s="43"/>
      <x:c r="D10" s="43"/>
      <x:c r="E10" s="43"/>
      <x:c r="F10" s="43"/>
      <x:c r="G10" s="47"/>
      <x:c r="H10" s="47"/>
      <x:c r="I10" s="49" t="str">
        <x:f>IF(OR(G10="",H10=""),"",ROUND((H10-G10)*86400,0))</x:f>
      </x:c>
      <x:c r="J10" s="47"/>
      <x:c r="K10" s="51" t="str">
        <x:f>IF(OR(G10="",J10=""),"",ROUND((J10-G10)*1440,1))</x:f>
      </x:c>
      <x:c r="L10" s="41"/>
      <x:c r="M10" s="53"/>
      <x:c r="N10" s="53"/>
      <x:c r="O10" s="53"/>
      <x:c r="P10" s="53"/>
      <x:c r="Q10" s="41"/>
      <x:c r="R10" s="41"/>
      <x:c r="S10" s="41"/>
      <x:c r="T10" s="41"/>
      <x:c r="U10" s="41"/>
    </x:row>
    <x:row r="11" ht="30" customHeight="1">
      <x:c r="A11" s="43"/>
      <x:c r="B11" s="43"/>
      <x:c r="C11" s="43"/>
      <x:c r="D11" s="43"/>
      <x:c r="E11" s="43"/>
      <x:c r="F11" s="43"/>
      <x:c r="G11" s="47"/>
      <x:c r="H11" s="47"/>
      <x:c r="I11" s="49" t="str">
        <x:f>IF(OR(G11="",H11=""),"",ROUND((H11-G11)*86400,0))</x:f>
      </x:c>
      <x:c r="J11" s="47"/>
      <x:c r="K11" s="51" t="str">
        <x:f>IF(OR(G11="",J11=""),"",ROUND((J11-G11)*1440,1))</x:f>
      </x:c>
      <x:c r="L11" s="41"/>
      <x:c r="M11" s="53"/>
      <x:c r="N11" s="53"/>
      <x:c r="O11" s="53"/>
      <x:c r="P11" s="53"/>
      <x:c r="Q11" s="41"/>
      <x:c r="R11" s="41"/>
      <x:c r="S11" s="41"/>
      <x:c r="T11" s="41"/>
      <x:c r="U11" s="41"/>
    </x:row>
    <x:row r="12" ht="30" customHeight="1">
      <x:c r="A12" s="43"/>
      <x:c r="B12" s="43"/>
      <x:c r="C12" s="43"/>
      <x:c r="D12" s="43"/>
      <x:c r="E12" s="43"/>
      <x:c r="F12" s="43"/>
      <x:c r="G12" s="47"/>
      <x:c r="H12" s="47"/>
      <x:c r="I12" s="49" t="str">
        <x:f>IF(OR(G12="",H12=""),"",ROUND((H12-G12)*86400,0))</x:f>
      </x:c>
      <x:c r="J12" s="47"/>
      <x:c r="K12" s="51" t="str">
        <x:f>IF(OR(G12="",J12=""),"",ROUND((J12-G12)*1440,1))</x:f>
      </x:c>
      <x:c r="L12" s="41"/>
      <x:c r="M12" s="53"/>
      <x:c r="N12" s="53"/>
      <x:c r="O12" s="53"/>
      <x:c r="P12" s="53"/>
      <x:c r="Q12" s="41"/>
      <x:c r="R12" s="41"/>
      <x:c r="S12" s="41"/>
      <x:c r="T12" s="41"/>
      <x:c r="U12" s="41"/>
    </x:row>
    <x:row r="13" ht="30" customHeight="1">
      <x:c r="A13" s="43"/>
      <x:c r="B13" s="43"/>
      <x:c r="C13" s="43"/>
      <x:c r="D13" s="43"/>
      <x:c r="E13" s="43"/>
      <x:c r="F13" s="43"/>
      <x:c r="G13" s="47"/>
      <x:c r="H13" s="47"/>
      <x:c r="I13" s="49" t="str">
        <x:f>IF(OR(G13="",H13=""),"",ROUND((H13-G13)*86400,0))</x:f>
      </x:c>
      <x:c r="J13" s="47"/>
      <x:c r="K13" s="51" t="str">
        <x:f>IF(OR(G13="",J13=""),"",ROUND((J13-G13)*1440,1))</x:f>
      </x:c>
      <x:c r="L13" s="41"/>
      <x:c r="M13" s="53"/>
      <x:c r="N13" s="53"/>
      <x:c r="O13" s="53"/>
      <x:c r="P13" s="53"/>
      <x:c r="Q13" s="41"/>
      <x:c r="R13" s="41"/>
      <x:c r="S13" s="41"/>
      <x:c r="T13" s="41"/>
      <x:c r="U13" s="41"/>
    </x:row>
    <x:row r="14" ht="30" customHeight="1">
      <x:c r="A14" s="43"/>
      <x:c r="B14" s="43"/>
      <x:c r="C14" s="43"/>
      <x:c r="D14" s="43"/>
      <x:c r="E14" s="43"/>
      <x:c r="F14" s="43"/>
      <x:c r="G14" s="47"/>
      <x:c r="H14" s="47"/>
      <x:c r="I14" s="49" t="str">
        <x:f>IF(OR(G14="",H14=""),"",ROUND((H14-G14)*86400,0))</x:f>
      </x:c>
      <x:c r="J14" s="47"/>
      <x:c r="K14" s="51" t="str">
        <x:f>IF(OR(G14="",J14=""),"",ROUND((J14-G14)*1440,1))</x:f>
      </x:c>
      <x:c r="L14" s="41"/>
      <x:c r="M14" s="53"/>
      <x:c r="N14" s="53"/>
      <x:c r="O14" s="53"/>
      <x:c r="P14" s="53"/>
      <x:c r="Q14" s="41"/>
      <x:c r="R14" s="41"/>
      <x:c r="S14" s="41"/>
      <x:c r="T14" s="41"/>
      <x:c r="U14" s="41"/>
    </x:row>
    <x:row r="15" ht="30" customHeight="1">
      <x:c r="A15" s="43"/>
      <x:c r="B15" s="43"/>
      <x:c r="C15" s="43"/>
      <x:c r="D15" s="43"/>
      <x:c r="E15" s="43"/>
      <x:c r="F15" s="43"/>
      <x:c r="G15" s="47"/>
      <x:c r="H15" s="47"/>
      <x:c r="I15" s="49" t="str">
        <x:f>IF(OR(G15="",H15=""),"",ROUND((H15-G15)*86400,0))</x:f>
      </x:c>
      <x:c r="J15" s="47"/>
      <x:c r="K15" s="51" t="str">
        <x:f>IF(OR(G15="",J15=""),"",ROUND((J15-G15)*1440,1))</x:f>
      </x:c>
      <x:c r="L15" s="41"/>
      <x:c r="M15" s="53"/>
      <x:c r="N15" s="53"/>
      <x:c r="O15" s="53"/>
      <x:c r="P15" s="53"/>
      <x:c r="Q15" s="41"/>
      <x:c r="R15" s="41"/>
      <x:c r="S15" s="41"/>
      <x:c r="T15" s="41"/>
      <x:c r="U15" s="41"/>
    </x:row>
    <x:row r="16" ht="30" customHeight="1">
      <x:c r="A16" s="43"/>
      <x:c r="B16" s="43"/>
      <x:c r="C16" s="43"/>
      <x:c r="D16" s="43"/>
      <x:c r="E16" s="43"/>
      <x:c r="F16" s="43"/>
      <x:c r="G16" s="47"/>
      <x:c r="H16" s="47"/>
      <x:c r="I16" s="49" t="str">
        <x:f>IF(OR(G16="",H16=""),"",ROUND((H16-G16)*86400,0))</x:f>
      </x:c>
      <x:c r="J16" s="47"/>
      <x:c r="K16" s="51" t="str">
        <x:f>IF(OR(G16="",J16=""),"",ROUND((J16-G16)*1440,1))</x:f>
      </x:c>
      <x:c r="L16" s="41"/>
      <x:c r="M16" s="53"/>
      <x:c r="N16" s="53"/>
      <x:c r="O16" s="53"/>
      <x:c r="P16" s="53"/>
      <x:c r="Q16" s="41"/>
      <x:c r="R16" s="41"/>
      <x:c r="S16" s="41"/>
      <x:c r="T16" s="41"/>
      <x:c r="U16" s="41"/>
    </x:row>
    <x:row r="17" ht="30" customHeight="1">
      <x:c r="A17" s="43"/>
      <x:c r="B17" s="43"/>
      <x:c r="C17" s="43"/>
      <x:c r="D17" s="43"/>
      <x:c r="E17" s="43"/>
      <x:c r="F17" s="43"/>
      <x:c r="G17" s="47"/>
      <x:c r="H17" s="47"/>
      <x:c r="I17" s="49" t="str">
        <x:f>IF(OR(G17="",H17=""),"",ROUND((H17-G17)*86400,0))</x:f>
      </x:c>
      <x:c r="J17" s="47"/>
      <x:c r="K17" s="51" t="str">
        <x:f>IF(OR(G17="",J17=""),"",ROUND((J17-G17)*1440,1))</x:f>
      </x:c>
      <x:c r="L17" s="41"/>
      <x:c r="M17" s="53"/>
      <x:c r="N17" s="53"/>
      <x:c r="O17" s="53"/>
      <x:c r="P17" s="53"/>
      <x:c r="Q17" s="41"/>
      <x:c r="R17" s="41"/>
      <x:c r="S17" s="41"/>
      <x:c r="T17" s="41"/>
      <x:c r="U17" s="41"/>
    </x:row>
    <x:row r="18" ht="30" customHeight="1">
      <x:c r="A18" s="43"/>
      <x:c r="B18" s="43"/>
      <x:c r="C18" s="43"/>
      <x:c r="D18" s="43"/>
      <x:c r="E18" s="43"/>
      <x:c r="F18" s="43"/>
      <x:c r="G18" s="47"/>
      <x:c r="H18" s="47"/>
      <x:c r="I18" s="49" t="str">
        <x:f>IF(OR(G18="",H18=""),"",ROUND((H18-G18)*86400,0))</x:f>
      </x:c>
      <x:c r="J18" s="47"/>
      <x:c r="K18" s="51" t="str">
        <x:f>IF(OR(G18="",J18=""),"",ROUND((J18-G18)*1440,1))</x:f>
      </x:c>
      <x:c r="L18" s="41"/>
      <x:c r="M18" s="53"/>
      <x:c r="N18" s="53"/>
      <x:c r="O18" s="53"/>
      <x:c r="P18" s="53"/>
      <x:c r="Q18" s="41"/>
      <x:c r="R18" s="41"/>
      <x:c r="S18" s="41"/>
      <x:c r="T18" s="41"/>
      <x:c r="U18" s="41"/>
    </x:row>
    <x:row r="19" ht="30" customHeight="1">
      <x:c r="A19" s="43"/>
      <x:c r="B19" s="43"/>
      <x:c r="C19" s="43"/>
      <x:c r="D19" s="43"/>
      <x:c r="E19" s="43"/>
      <x:c r="F19" s="43"/>
      <x:c r="G19" s="47"/>
      <x:c r="H19" s="47"/>
      <x:c r="I19" s="49" t="str">
        <x:f>IF(OR(G19="",H19=""),"",ROUND((H19-G19)*86400,0))</x:f>
      </x:c>
      <x:c r="J19" s="47"/>
      <x:c r="K19" s="51" t="str">
        <x:f>IF(OR(G19="",J19=""),"",ROUND((J19-G19)*1440,1))</x:f>
      </x:c>
      <x:c r="L19" s="41"/>
      <x:c r="M19" s="53"/>
      <x:c r="N19" s="53"/>
      <x:c r="O19" s="53"/>
      <x:c r="P19" s="53"/>
      <x:c r="Q19" s="41"/>
      <x:c r="R19" s="41"/>
      <x:c r="S19" s="41"/>
      <x:c r="T19" s="41"/>
      <x:c r="U19" s="41"/>
    </x:row>
    <x:row r="20" ht="30" customHeight="1">
      <x:c r="A20" s="43"/>
      <x:c r="B20" s="43"/>
      <x:c r="C20" s="43"/>
      <x:c r="D20" s="43"/>
      <x:c r="E20" s="43"/>
      <x:c r="F20" s="43"/>
      <x:c r="G20" s="47"/>
      <x:c r="H20" s="47"/>
      <x:c r="I20" s="49" t="str">
        <x:f>IF(OR(G20="",H20=""),"",ROUND((H20-G20)*86400,0))</x:f>
      </x:c>
      <x:c r="J20" s="47"/>
      <x:c r="K20" s="51" t="str">
        <x:f>IF(OR(G20="",J20=""),"",ROUND((J20-G20)*1440,1))</x:f>
      </x:c>
      <x:c r="L20" s="41"/>
      <x:c r="M20" s="53"/>
      <x:c r="N20" s="53"/>
      <x:c r="O20" s="53"/>
      <x:c r="P20" s="53"/>
      <x:c r="Q20" s="41"/>
      <x:c r="R20" s="41"/>
      <x:c r="S20" s="41"/>
      <x:c r="T20" s="41"/>
      <x:c r="U20" s="41"/>
    </x:row>
    <x:row r="21" ht="30" customHeight="1">
      <x:c r="A21" s="43"/>
      <x:c r="B21" s="43"/>
      <x:c r="C21" s="43"/>
      <x:c r="D21" s="43"/>
      <x:c r="E21" s="43"/>
      <x:c r="F21" s="43"/>
      <x:c r="G21" s="47"/>
      <x:c r="H21" s="47"/>
      <x:c r="I21" s="49" t="str">
        <x:f>IF(OR(G21="",H21=""),"",ROUND((H21-G21)*86400,0))</x:f>
      </x:c>
      <x:c r="J21" s="47"/>
      <x:c r="K21" s="51" t="str">
        <x:f>IF(OR(G21="",J21=""),"",ROUND((J21-G21)*1440,1))</x:f>
      </x:c>
      <x:c r="L21" s="41"/>
      <x:c r="M21" s="53"/>
      <x:c r="N21" s="53"/>
      <x:c r="O21" s="53"/>
      <x:c r="P21" s="53"/>
      <x:c r="Q21" s="41"/>
      <x:c r="R21" s="41"/>
      <x:c r="S21" s="41"/>
      <x:c r="T21" s="41"/>
      <x:c r="U21" s="41"/>
    </x:row>
    <x:row r="22" ht="30" customHeight="1">
      <x:c r="A22" s="43"/>
      <x:c r="B22" s="43"/>
      <x:c r="C22" s="43"/>
      <x:c r="D22" s="43"/>
      <x:c r="E22" s="43"/>
      <x:c r="F22" s="43"/>
      <x:c r="G22" s="47"/>
      <x:c r="H22" s="47"/>
      <x:c r="I22" s="49" t="str">
        <x:f>IF(OR(G22="",H22=""),"",ROUND((H22-G22)*86400,0))</x:f>
      </x:c>
      <x:c r="J22" s="47"/>
      <x:c r="K22" s="51" t="str">
        <x:f>IF(OR(G22="",J22=""),"",ROUND((J22-G22)*1440,1))</x:f>
      </x:c>
      <x:c r="L22" s="41"/>
      <x:c r="M22" s="53"/>
      <x:c r="N22" s="53"/>
      <x:c r="O22" s="53"/>
      <x:c r="P22" s="53"/>
      <x:c r="Q22" s="41"/>
      <x:c r="R22" s="41"/>
      <x:c r="S22" s="41"/>
      <x:c r="T22" s="41"/>
      <x:c r="U22" s="41"/>
    </x:row>
    <x:row r="23" ht="30" customHeight="1">
      <x:c r="A23" s="43"/>
      <x:c r="B23" s="43"/>
      <x:c r="C23" s="43"/>
      <x:c r="D23" s="43"/>
      <x:c r="E23" s="43"/>
      <x:c r="F23" s="43"/>
      <x:c r="G23" s="47"/>
      <x:c r="H23" s="47"/>
      <x:c r="I23" s="49" t="str">
        <x:f>IF(OR(G23="",H23=""),"",ROUND((H23-G23)*86400,0))</x:f>
      </x:c>
      <x:c r="J23" s="47"/>
      <x:c r="K23" s="51" t="str">
        <x:f>IF(OR(G23="",J23=""),"",ROUND((J23-G23)*1440,1))</x:f>
      </x:c>
      <x:c r="L23" s="41"/>
      <x:c r="M23" s="53"/>
      <x:c r="N23" s="53"/>
      <x:c r="O23" s="53"/>
      <x:c r="P23" s="53"/>
      <x:c r="Q23" s="41"/>
      <x:c r="R23" s="41"/>
      <x:c r="S23" s="41"/>
      <x:c r="T23" s="41"/>
      <x:c r="U23" s="41"/>
    </x:row>
    <x:row r="24" ht="30" customHeight="1">
      <x:c r="A24" s="43"/>
      <x:c r="B24" s="43"/>
      <x:c r="C24" s="43"/>
      <x:c r="D24" s="43"/>
      <x:c r="E24" s="43"/>
      <x:c r="F24" s="43"/>
      <x:c r="G24" s="47"/>
      <x:c r="H24" s="47"/>
      <x:c r="I24" s="49" t="str">
        <x:f>IF(OR(G24="",H24=""),"",ROUND((H24-G24)*86400,0))</x:f>
      </x:c>
      <x:c r="J24" s="47"/>
      <x:c r="K24" s="51" t="str">
        <x:f>IF(OR(G24="",J24=""),"",ROUND((J24-G24)*1440,1))</x:f>
      </x:c>
      <x:c r="L24" s="41"/>
      <x:c r="M24" s="53"/>
      <x:c r="N24" s="53"/>
      <x:c r="O24" s="53"/>
      <x:c r="P24" s="53"/>
      <x:c r="Q24" s="41"/>
      <x:c r="R24" s="41"/>
      <x:c r="S24" s="41"/>
      <x:c r="T24" s="41"/>
      <x:c r="U24" s="41"/>
    </x:row>
    <x:row r="25" ht="30" customHeight="1">
      <x:c r="A25" s="43"/>
      <x:c r="B25" s="43"/>
      <x:c r="C25" s="43"/>
      <x:c r="D25" s="43"/>
      <x:c r="E25" s="43"/>
      <x:c r="F25" s="43"/>
      <x:c r="G25" s="47"/>
      <x:c r="H25" s="47"/>
      <x:c r="I25" s="49" t="str">
        <x:f>IF(OR(G25="",H25=""),"",ROUND((H25-G25)*86400,0))</x:f>
      </x:c>
      <x:c r="J25" s="47"/>
      <x:c r="K25" s="51" t="str">
        <x:f>IF(OR(G25="",J25=""),"",ROUND((J25-G25)*1440,1))</x:f>
      </x:c>
      <x:c r="L25" s="41"/>
      <x:c r="M25" s="53"/>
      <x:c r="N25" s="53"/>
      <x:c r="O25" s="53"/>
      <x:c r="P25" s="53"/>
      <x:c r="Q25" s="41"/>
      <x:c r="R25" s="41"/>
      <x:c r="S25" s="41"/>
      <x:c r="T25" s="41"/>
      <x:c r="U25" s="41"/>
    </x:row>
    <x:row r="26" ht="30" customHeight="1">
      <x:c r="A26" s="43"/>
      <x:c r="B26" s="43"/>
      <x:c r="C26" s="43"/>
      <x:c r="D26" s="43"/>
      <x:c r="E26" s="43"/>
      <x:c r="F26" s="43"/>
      <x:c r="G26" s="47"/>
      <x:c r="H26" s="47"/>
      <x:c r="I26" s="49" t="str">
        <x:f>IF(OR(G26="",H26=""),"",ROUND((H26-G26)*86400,0))</x:f>
      </x:c>
      <x:c r="J26" s="47"/>
      <x:c r="K26" s="51" t="str">
        <x:f>IF(OR(G26="",J26=""),"",ROUND((J26-G26)*1440,1))</x:f>
      </x:c>
      <x:c r="L26" s="41"/>
      <x:c r="M26" s="53"/>
      <x:c r="N26" s="53"/>
      <x:c r="O26" s="53"/>
      <x:c r="P26" s="53"/>
      <x:c r="Q26" s="41"/>
      <x:c r="R26" s="41"/>
      <x:c r="S26" s="41"/>
      <x:c r="T26" s="41"/>
      <x:c r="U26" s="41"/>
    </x:row>
    <x:row r="27" ht="30" customHeight="1">
      <x:c r="A27" s="43"/>
      <x:c r="B27" s="43"/>
      <x:c r="C27" s="43"/>
      <x:c r="D27" s="43"/>
      <x:c r="E27" s="43"/>
      <x:c r="F27" s="43"/>
      <x:c r="G27" s="47"/>
      <x:c r="H27" s="47"/>
      <x:c r="I27" s="49" t="str">
        <x:f>IF(OR(G27="",H27=""),"",ROUND((H27-G27)*86400,0))</x:f>
      </x:c>
      <x:c r="J27" s="47"/>
      <x:c r="K27" s="51" t="str">
        <x:f>IF(OR(G27="",J27=""),"",ROUND((J27-G27)*1440,1))</x:f>
      </x:c>
      <x:c r="L27" s="41"/>
      <x:c r="M27" s="53"/>
      <x:c r="N27" s="53"/>
      <x:c r="O27" s="53"/>
      <x:c r="P27" s="53"/>
      <x:c r="Q27" s="41"/>
      <x:c r="R27" s="41"/>
      <x:c r="S27" s="41"/>
      <x:c r="T27" s="41"/>
      <x:c r="U27" s="41"/>
    </x:row>
    <x:row r="28" ht="30" customHeight="1">
      <x:c r="A28" s="43"/>
      <x:c r="B28" s="43"/>
      <x:c r="C28" s="43"/>
      <x:c r="D28" s="43"/>
      <x:c r="E28" s="43"/>
      <x:c r="F28" s="43"/>
      <x:c r="G28" s="47"/>
      <x:c r="H28" s="47"/>
      <x:c r="I28" s="49" t="str">
        <x:f>IF(OR(G28="",H28=""),"",ROUND((H28-G28)*86400,0))</x:f>
      </x:c>
      <x:c r="J28" s="47"/>
      <x:c r="K28" s="51" t="str">
        <x:f>IF(OR(G28="",J28=""),"",ROUND((J28-G28)*1440,1))</x:f>
      </x:c>
      <x:c r="L28" s="41"/>
      <x:c r="M28" s="53"/>
      <x:c r="N28" s="53"/>
      <x:c r="O28" s="53"/>
      <x:c r="P28" s="53"/>
      <x:c r="Q28" s="41"/>
      <x:c r="R28" s="41"/>
      <x:c r="S28" s="41"/>
      <x:c r="T28" s="41"/>
      <x:c r="U28" s="41"/>
    </x:row>
    <x:row r="29" ht="30" customHeight="1">
      <x:c r="A29" s="43"/>
      <x:c r="B29" s="43"/>
      <x:c r="C29" s="43"/>
      <x:c r="D29" s="43"/>
      <x:c r="E29" s="43"/>
      <x:c r="F29" s="43"/>
      <x:c r="G29" s="47"/>
      <x:c r="H29" s="47"/>
      <x:c r="I29" s="49" t="str">
        <x:f>IF(OR(G29="",H29=""),"",ROUND((H29-G29)*86400,0))</x:f>
      </x:c>
      <x:c r="J29" s="47"/>
      <x:c r="K29" s="51" t="str">
        <x:f>IF(OR(G29="",J29=""),"",ROUND((J29-G29)*1440,1))</x:f>
      </x:c>
      <x:c r="L29" s="41"/>
      <x:c r="M29" s="53"/>
      <x:c r="N29" s="53"/>
      <x:c r="O29" s="53"/>
      <x:c r="P29" s="53"/>
      <x:c r="Q29" s="41"/>
      <x:c r="R29" s="41"/>
      <x:c r="S29" s="41"/>
      <x:c r="T29" s="41"/>
      <x:c r="U29" s="41"/>
    </x:row>
    <x:row r="30" ht="30" customHeight="1">
      <x:c r="A30" s="43"/>
      <x:c r="B30" s="43"/>
      <x:c r="C30" s="43"/>
      <x:c r="D30" s="43"/>
      <x:c r="E30" s="43"/>
      <x:c r="F30" s="43"/>
      <x:c r="G30" s="47"/>
      <x:c r="H30" s="47"/>
      <x:c r="I30" s="49" t="str">
        <x:f>IF(OR(G30="",H30=""),"",ROUND((H30-G30)*86400,0))</x:f>
      </x:c>
      <x:c r="J30" s="47"/>
      <x:c r="K30" s="51" t="str">
        <x:f>IF(OR(G30="",J30=""),"",ROUND((J30-G30)*1440,1))</x:f>
      </x:c>
      <x:c r="L30" s="41"/>
      <x:c r="M30" s="53"/>
      <x:c r="N30" s="53"/>
      <x:c r="O30" s="53"/>
      <x:c r="P30" s="53"/>
      <x:c r="Q30" s="41"/>
      <x:c r="R30" s="41"/>
      <x:c r="S30" s="41"/>
      <x:c r="T30" s="41"/>
      <x:c r="U30" s="41"/>
    </x:row>
    <x:row r="31" ht="30" customHeight="1">
      <x:c r="A31" s="43"/>
      <x:c r="B31" s="43"/>
      <x:c r="C31" s="43"/>
      <x:c r="D31" s="43"/>
      <x:c r="E31" s="43"/>
      <x:c r="F31" s="43"/>
      <x:c r="G31" s="47"/>
      <x:c r="H31" s="47"/>
      <x:c r="I31" s="49" t="str">
        <x:f>IF(OR(G31="",H31=""),"",ROUND((H31-G31)*86400,0))</x:f>
      </x:c>
      <x:c r="J31" s="47"/>
      <x:c r="K31" s="51" t="str">
        <x:f>IF(OR(G31="",J31=""),"",ROUND((J31-G31)*1440,1))</x:f>
      </x:c>
      <x:c r="L31" s="41"/>
      <x:c r="M31" s="53"/>
      <x:c r="N31" s="53"/>
      <x:c r="O31" s="53"/>
      <x:c r="P31" s="53"/>
      <x:c r="Q31" s="41"/>
      <x:c r="R31" s="41"/>
      <x:c r="S31" s="41"/>
      <x:c r="T31" s="41"/>
      <x:c r="U31" s="41"/>
    </x:row>
    <x:row r="32" ht="30" customHeight="1">
      <x:c r="A32" s="43"/>
      <x:c r="B32" s="43"/>
      <x:c r="C32" s="43"/>
      <x:c r="D32" s="43"/>
      <x:c r="E32" s="43"/>
      <x:c r="F32" s="43"/>
      <x:c r="G32" s="47"/>
      <x:c r="H32" s="47"/>
      <x:c r="I32" s="49" t="str">
        <x:f>IF(OR(G32="",H32=""),"",ROUND((H32-G32)*86400,0))</x:f>
      </x:c>
      <x:c r="J32" s="47"/>
      <x:c r="K32" s="51" t="str">
        <x:f>IF(OR(G32="",J32=""),"",ROUND((J32-G32)*1440,1))</x:f>
      </x:c>
      <x:c r="L32" s="41"/>
      <x:c r="M32" s="53"/>
      <x:c r="N32" s="53"/>
      <x:c r="O32" s="53"/>
      <x:c r="P32" s="53"/>
      <x:c r="Q32" s="41"/>
      <x:c r="R32" s="41"/>
      <x:c r="S32" s="41"/>
      <x:c r="T32" s="41"/>
      <x:c r="U32" s="41"/>
    </x:row>
    <x:row r="33" ht="30" customHeight="1">
      <x:c r="A33" s="43"/>
      <x:c r="B33" s="43"/>
      <x:c r="C33" s="43"/>
      <x:c r="D33" s="43"/>
      <x:c r="E33" s="43"/>
      <x:c r="F33" s="43"/>
      <x:c r="G33" s="47"/>
      <x:c r="H33" s="47"/>
      <x:c r="I33" s="49" t="str">
        <x:f>IF(OR(G33="",H33=""),"",ROUND((H33-G33)*86400,0))</x:f>
      </x:c>
      <x:c r="J33" s="47"/>
      <x:c r="K33" s="51" t="str">
        <x:f>IF(OR(G33="",J33=""),"",ROUND((J33-G33)*1440,1))</x:f>
      </x:c>
      <x:c r="L33" s="41"/>
      <x:c r="M33" s="53"/>
      <x:c r="N33" s="53"/>
      <x:c r="O33" s="53"/>
      <x:c r="P33" s="53"/>
      <x:c r="Q33" s="41"/>
      <x:c r="R33" s="41"/>
      <x:c r="S33" s="41"/>
      <x:c r="T33" s="41"/>
      <x:c r="U33" s="41"/>
    </x:row>
    <x:row r="34" ht="30" customHeight="1">
      <x:c r="A34" s="43"/>
      <x:c r="B34" s="43"/>
      <x:c r="C34" s="43"/>
      <x:c r="D34" s="43"/>
      <x:c r="E34" s="43"/>
      <x:c r="F34" s="43"/>
      <x:c r="G34" s="47"/>
      <x:c r="H34" s="47"/>
      <x:c r="I34" s="49" t="str">
        <x:f>IF(OR(G34="",H34=""),"",ROUND((H34-G34)*86400,0))</x:f>
      </x:c>
      <x:c r="J34" s="47"/>
      <x:c r="K34" s="51" t="str">
        <x:f>IF(OR(G34="",J34=""),"",ROUND((J34-G34)*1440,1))</x:f>
      </x:c>
      <x:c r="L34" s="41"/>
      <x:c r="M34" s="53"/>
      <x:c r="N34" s="53"/>
      <x:c r="O34" s="53"/>
      <x:c r="P34" s="53"/>
      <x:c r="Q34" s="41"/>
      <x:c r="R34" s="41"/>
      <x:c r="S34" s="41"/>
      <x:c r="T34" s="41"/>
      <x:c r="U34" s="41"/>
    </x:row>
    <x:row r="35" ht="30" customHeight="1">
      <x:c r="A35" s="43"/>
      <x:c r="B35" s="43"/>
      <x:c r="C35" s="43"/>
      <x:c r="D35" s="43"/>
      <x:c r="E35" s="43"/>
      <x:c r="F35" s="43"/>
      <x:c r="G35" s="47"/>
      <x:c r="H35" s="47"/>
      <x:c r="I35" s="49" t="str">
        <x:f>IF(OR(G35="",H35=""),"",ROUND((H35-G35)*86400,0))</x:f>
      </x:c>
      <x:c r="J35" s="47"/>
      <x:c r="K35" s="51" t="str">
        <x:f>IF(OR(G35="",J35=""),"",ROUND((J35-G35)*1440,1))</x:f>
      </x:c>
      <x:c r="L35" s="41"/>
      <x:c r="M35" s="53"/>
      <x:c r="N35" s="53"/>
      <x:c r="O35" s="53"/>
      <x:c r="P35" s="53"/>
      <x:c r="Q35" s="41"/>
      <x:c r="R35" s="41"/>
      <x:c r="S35" s="41"/>
      <x:c r="T35" s="41"/>
      <x:c r="U35" s="41"/>
    </x:row>
    <x:row r="36" ht="30" customHeight="1">
      <x:c r="A36" s="43"/>
      <x:c r="B36" s="43"/>
      <x:c r="C36" s="43"/>
      <x:c r="D36" s="43"/>
      <x:c r="E36" s="43"/>
      <x:c r="F36" s="43"/>
      <x:c r="G36" s="47"/>
      <x:c r="H36" s="47"/>
      <x:c r="I36" s="49" t="str">
        <x:f>IF(OR(G36="",H36=""),"",ROUND((H36-G36)*86400,0))</x:f>
      </x:c>
      <x:c r="J36" s="47"/>
      <x:c r="K36" s="51" t="str">
        <x:f>IF(OR(G36="",J36=""),"",ROUND((J36-G36)*1440,1))</x:f>
      </x:c>
      <x:c r="L36" s="41"/>
      <x:c r="M36" s="53"/>
      <x:c r="N36" s="53"/>
      <x:c r="O36" s="53"/>
      <x:c r="P36" s="53"/>
      <x:c r="Q36" s="41"/>
      <x:c r="R36" s="41"/>
      <x:c r="S36" s="41"/>
      <x:c r="T36" s="41"/>
      <x:c r="U36" s="41"/>
    </x:row>
    <x:row r="37" ht="30" customHeight="1">
      <x:c r="A37" s="43"/>
      <x:c r="B37" s="43"/>
      <x:c r="C37" s="43"/>
      <x:c r="D37" s="43"/>
      <x:c r="E37" s="43"/>
      <x:c r="F37" s="43"/>
      <x:c r="G37" s="47"/>
      <x:c r="H37" s="47"/>
      <x:c r="I37" s="49" t="str">
        <x:f>IF(OR(G37="",H37=""),"",ROUND((H37-G37)*86400,0))</x:f>
      </x:c>
      <x:c r="J37" s="47"/>
      <x:c r="K37" s="51" t="str">
        <x:f>IF(OR(G37="",J37=""),"",ROUND((J37-G37)*1440,1))</x:f>
      </x:c>
      <x:c r="L37" s="41"/>
      <x:c r="M37" s="53"/>
      <x:c r="N37" s="53"/>
      <x:c r="O37" s="53"/>
      <x:c r="P37" s="53"/>
      <x:c r="Q37" s="41"/>
      <x:c r="R37" s="41"/>
      <x:c r="S37" s="41"/>
      <x:c r="T37" s="41"/>
      <x:c r="U37" s="41"/>
    </x:row>
    <x:row r="38" ht="30" customHeight="1">
      <x:c r="A38" s="43"/>
      <x:c r="B38" s="43"/>
      <x:c r="C38" s="43"/>
      <x:c r="D38" s="43"/>
      <x:c r="E38" s="43"/>
      <x:c r="F38" s="43"/>
      <x:c r="G38" s="47"/>
      <x:c r="H38" s="47"/>
      <x:c r="I38" s="49" t="str">
        <x:f>IF(OR(G38="",H38=""),"",ROUND((H38-G38)*86400,0))</x:f>
      </x:c>
      <x:c r="J38" s="47"/>
      <x:c r="K38" s="51" t="str">
        <x:f>IF(OR(G38="",J38=""),"",ROUND((J38-G38)*1440,1))</x:f>
      </x:c>
      <x:c r="L38" s="41"/>
      <x:c r="M38" s="53"/>
      <x:c r="N38" s="53"/>
      <x:c r="O38" s="53"/>
      <x:c r="P38" s="53"/>
      <x:c r="Q38" s="41"/>
      <x:c r="R38" s="41"/>
      <x:c r="S38" s="41"/>
      <x:c r="T38" s="41"/>
      <x:c r="U38" s="41"/>
    </x:row>
    <x:row r="39" ht="30" customHeight="1">
      <x:c r="A39" s="43"/>
      <x:c r="B39" s="43"/>
      <x:c r="C39" s="43"/>
      <x:c r="D39" s="43"/>
      <x:c r="E39" s="43"/>
      <x:c r="F39" s="43"/>
      <x:c r="G39" s="47"/>
      <x:c r="H39" s="47"/>
      <x:c r="I39" s="49" t="str">
        <x:f>IF(OR(G39="",H39=""),"",ROUND((H39-G39)*86400,0))</x:f>
      </x:c>
      <x:c r="J39" s="47"/>
      <x:c r="K39" s="51" t="str">
        <x:f>IF(OR(G39="",J39=""),"",ROUND((J39-G39)*1440,1))</x:f>
      </x:c>
      <x:c r="L39" s="41"/>
      <x:c r="M39" s="53"/>
      <x:c r="N39" s="53"/>
      <x:c r="O39" s="53"/>
      <x:c r="P39" s="53"/>
      <x:c r="Q39" s="41"/>
      <x:c r="R39" s="41"/>
      <x:c r="S39" s="41"/>
      <x:c r="T39" s="41"/>
      <x:c r="U39" s="41"/>
    </x:row>
    <x:row r="40" ht="30" customHeight="1">
      <x:c r="A40" s="43"/>
      <x:c r="B40" s="43"/>
      <x:c r="C40" s="43"/>
      <x:c r="D40" s="43"/>
      <x:c r="E40" s="43"/>
      <x:c r="F40" s="43"/>
      <x:c r="G40" s="47"/>
      <x:c r="H40" s="47"/>
      <x:c r="I40" s="49" t="str">
        <x:f>IF(OR(G40="",H40=""),"",ROUND((H40-G40)*86400,0))</x:f>
      </x:c>
      <x:c r="J40" s="47"/>
      <x:c r="K40" s="51" t="str">
        <x:f>IF(OR(G40="",J40=""),"",ROUND((J40-G40)*1440,1))</x:f>
      </x:c>
      <x:c r="L40" s="41"/>
      <x:c r="M40" s="53"/>
      <x:c r="N40" s="53"/>
      <x:c r="O40" s="53"/>
      <x:c r="P40" s="53"/>
      <x:c r="Q40" s="41"/>
      <x:c r="R40" s="41"/>
      <x:c r="S40" s="41"/>
      <x:c r="T40" s="41"/>
      <x:c r="U40" s="41"/>
    </x:row>
    <x:row r="41" ht="30" customHeight="1">
      <x:c r="A41" s="43"/>
      <x:c r="B41" s="43"/>
      <x:c r="C41" s="43"/>
      <x:c r="D41" s="43"/>
      <x:c r="E41" s="43"/>
      <x:c r="F41" s="43"/>
      <x:c r="G41" s="47"/>
      <x:c r="H41" s="47"/>
      <x:c r="I41" s="49" t="str">
        <x:f>IF(OR(G41="",H41=""),"",ROUND((H41-G41)*86400,0))</x:f>
      </x:c>
      <x:c r="J41" s="47"/>
      <x:c r="K41" s="51" t="str">
        <x:f>IF(OR(G41="",J41=""),"",ROUND((J41-G41)*1440,1))</x:f>
      </x:c>
      <x:c r="L41" s="41"/>
      <x:c r="M41" s="53"/>
      <x:c r="N41" s="53"/>
      <x:c r="O41" s="53"/>
      <x:c r="P41" s="53"/>
      <x:c r="Q41" s="41"/>
      <x:c r="R41" s="41"/>
      <x:c r="S41" s="41"/>
      <x:c r="T41" s="41"/>
      <x:c r="U41" s="41"/>
    </x:row>
    <x:row r="42" ht="30" customHeight="1">
      <x:c r="A42" s="43"/>
      <x:c r="B42" s="43"/>
      <x:c r="C42" s="43"/>
      <x:c r="D42" s="43"/>
      <x:c r="E42" s="43"/>
      <x:c r="F42" s="43"/>
      <x:c r="G42" s="47"/>
      <x:c r="H42" s="47"/>
      <x:c r="I42" s="49" t="str">
        <x:f>IF(OR(G42="",H42=""),"",ROUND((H42-G42)*86400,0))</x:f>
      </x:c>
      <x:c r="J42" s="47"/>
      <x:c r="K42" s="51" t="str">
        <x:f>IF(OR(G42="",J42=""),"",ROUND((J42-G42)*1440,1))</x:f>
      </x:c>
      <x:c r="L42" s="41"/>
      <x:c r="M42" s="53"/>
      <x:c r="N42" s="53"/>
      <x:c r="O42" s="53"/>
      <x:c r="P42" s="53"/>
      <x:c r="Q42" s="41"/>
      <x:c r="R42" s="41"/>
      <x:c r="S42" s="41"/>
      <x:c r="T42" s="41"/>
      <x:c r="U42" s="41"/>
    </x:row>
    <x:row r="43" ht="30" customHeight="1">
      <x:c r="A43" s="43"/>
      <x:c r="B43" s="43"/>
      <x:c r="C43" s="43"/>
      <x:c r="D43" s="43"/>
      <x:c r="E43" s="43"/>
      <x:c r="F43" s="43"/>
      <x:c r="G43" s="47"/>
      <x:c r="H43" s="47"/>
      <x:c r="I43" s="49" t="str">
        <x:f>IF(OR(G43="",H43=""),"",ROUND((H43-G43)*86400,0))</x:f>
      </x:c>
      <x:c r="J43" s="47"/>
      <x:c r="K43" s="51" t="str">
        <x:f>IF(OR(G43="",J43=""),"",ROUND((J43-G43)*1440,1))</x:f>
      </x:c>
      <x:c r="L43" s="41"/>
      <x:c r="M43" s="53"/>
      <x:c r="N43" s="53"/>
      <x:c r="O43" s="53"/>
      <x:c r="P43" s="53"/>
      <x:c r="Q43" s="41"/>
      <x:c r="R43" s="41"/>
      <x:c r="S43" s="41"/>
      <x:c r="T43" s="41"/>
      <x:c r="U43" s="41"/>
    </x:row>
    <x:row r="44" ht="30" customHeight="1">
      <x:c r="A44" s="43"/>
      <x:c r="B44" s="43"/>
      <x:c r="C44" s="43"/>
      <x:c r="D44" s="43"/>
      <x:c r="E44" s="43"/>
      <x:c r="F44" s="43"/>
      <x:c r="G44" s="47"/>
      <x:c r="H44" s="47"/>
      <x:c r="I44" s="49" t="str">
        <x:f>IF(OR(G44="",H44=""),"",ROUND((H44-G44)*86400,0))</x:f>
      </x:c>
      <x:c r="J44" s="47"/>
      <x:c r="K44" s="51" t="str">
        <x:f>IF(OR(G44="",J44=""),"",ROUND((J44-G44)*1440,1))</x:f>
      </x:c>
      <x:c r="L44" s="41"/>
      <x:c r="M44" s="53"/>
      <x:c r="N44" s="53"/>
      <x:c r="O44" s="53"/>
      <x:c r="P44" s="53"/>
      <x:c r="Q44" s="41"/>
      <x:c r="R44" s="41"/>
      <x:c r="S44" s="41"/>
      <x:c r="T44" s="41"/>
      <x:c r="U44" s="41"/>
    </x:row>
    <x:row r="45" ht="30" customHeight="1">
      <x:c r="A45" s="43"/>
      <x:c r="B45" s="43"/>
      <x:c r="C45" s="43"/>
      <x:c r="D45" s="43"/>
      <x:c r="E45" s="43"/>
      <x:c r="F45" s="43"/>
      <x:c r="G45" s="47"/>
      <x:c r="H45" s="47"/>
      <x:c r="I45" s="49" t="str">
        <x:f>IF(OR(G45="",H45=""),"",ROUND((H45-G45)*86400,0))</x:f>
      </x:c>
      <x:c r="J45" s="47"/>
      <x:c r="K45" s="51" t="str">
        <x:f>IF(OR(G45="",J45=""),"",ROUND((J45-G45)*1440,1))</x:f>
      </x:c>
      <x:c r="L45" s="41"/>
      <x:c r="M45" s="53"/>
      <x:c r="N45" s="53"/>
      <x:c r="O45" s="53"/>
      <x:c r="P45" s="53"/>
      <x:c r="Q45" s="41"/>
      <x:c r="R45" s="41"/>
      <x:c r="S45" s="41"/>
      <x:c r="T45" s="41"/>
      <x:c r="U45" s="41"/>
    </x:row>
    <x:row r="46" ht="30" customHeight="1">
      <x:c r="A46" s="43"/>
      <x:c r="B46" s="43"/>
      <x:c r="C46" s="43"/>
      <x:c r="D46" s="43"/>
      <x:c r="E46" s="43"/>
      <x:c r="F46" s="43"/>
      <x:c r="G46" s="47"/>
      <x:c r="H46" s="47"/>
      <x:c r="I46" s="49" t="str">
        <x:f>IF(OR(G46="",H46=""),"",ROUND((H46-G46)*86400,0))</x:f>
      </x:c>
      <x:c r="J46" s="47"/>
      <x:c r="K46" s="51" t="str">
        <x:f>IF(OR(G46="",J46=""),"",ROUND((J46-G46)*1440,1))</x:f>
      </x:c>
      <x:c r="L46" s="41"/>
      <x:c r="M46" s="53"/>
      <x:c r="N46" s="53"/>
      <x:c r="O46" s="53"/>
      <x:c r="P46" s="53"/>
      <x:c r="Q46" s="41"/>
      <x:c r="R46" s="41"/>
      <x:c r="S46" s="41"/>
      <x:c r="T46" s="41"/>
      <x:c r="U46" s="41"/>
    </x:row>
    <x:row r="47" ht="30" customHeight="1">
      <x:c r="A47" s="43"/>
      <x:c r="B47" s="43"/>
      <x:c r="C47" s="43"/>
      <x:c r="D47" s="43"/>
      <x:c r="E47" s="43"/>
      <x:c r="F47" s="43"/>
      <x:c r="G47" s="47"/>
      <x:c r="H47" s="47"/>
      <x:c r="I47" s="49" t="str">
        <x:f>IF(OR(G47="",H47=""),"",ROUND((H47-G47)*86400,0))</x:f>
      </x:c>
      <x:c r="J47" s="47"/>
      <x:c r="K47" s="51" t="str">
        <x:f>IF(OR(G47="",J47=""),"",ROUND((J47-G47)*1440,1))</x:f>
      </x:c>
      <x:c r="L47" s="41"/>
      <x:c r="M47" s="53"/>
      <x:c r="N47" s="53"/>
      <x:c r="O47" s="53"/>
      <x:c r="P47" s="53"/>
      <x:c r="Q47" s="41"/>
      <x:c r="R47" s="41"/>
      <x:c r="S47" s="41"/>
      <x:c r="T47" s="41"/>
      <x:c r="U47" s="41"/>
    </x:row>
    <x:row r="48" ht="30" customHeight="1">
      <x:c r="A48" s="43"/>
      <x:c r="B48" s="43"/>
      <x:c r="C48" s="43"/>
      <x:c r="D48" s="43"/>
      <x:c r="E48" s="43"/>
      <x:c r="F48" s="43"/>
      <x:c r="G48" s="47"/>
      <x:c r="H48" s="47"/>
      <x:c r="I48" s="49" t="str">
        <x:f>IF(OR(G48="",H48=""),"",ROUND((H48-G48)*86400,0))</x:f>
      </x:c>
      <x:c r="J48" s="47"/>
      <x:c r="K48" s="51" t="str">
        <x:f>IF(OR(G48="",J48=""),"",ROUND((J48-G48)*1440,1))</x:f>
      </x:c>
      <x:c r="L48" s="41"/>
      <x:c r="M48" s="53"/>
      <x:c r="N48" s="53"/>
      <x:c r="O48" s="53"/>
      <x:c r="P48" s="53"/>
      <x:c r="Q48" s="41"/>
      <x:c r="R48" s="41"/>
      <x:c r="S48" s="41"/>
      <x:c r="T48" s="41"/>
      <x:c r="U48" s="41"/>
    </x:row>
    <x:row r="49" ht="30" customHeight="1">
      <x:c r="A49" s="43"/>
      <x:c r="B49" s="43"/>
      <x:c r="C49" s="43"/>
      <x:c r="D49" s="43"/>
      <x:c r="E49" s="43"/>
      <x:c r="F49" s="43"/>
      <x:c r="G49" s="47"/>
      <x:c r="H49" s="47"/>
      <x:c r="I49" s="49" t="str">
        <x:f>IF(OR(G49="",H49=""),"",ROUND((H49-G49)*86400,0))</x:f>
      </x:c>
      <x:c r="J49" s="47"/>
      <x:c r="K49" s="51" t="str">
        <x:f>IF(OR(G49="",J49=""),"",ROUND((J49-G49)*1440,1))</x:f>
      </x:c>
      <x:c r="L49" s="41"/>
      <x:c r="M49" s="53"/>
      <x:c r="N49" s="53"/>
      <x:c r="O49" s="53"/>
      <x:c r="P49" s="53"/>
      <x:c r="Q49" s="41"/>
      <x:c r="R49" s="41"/>
      <x:c r="S49" s="41"/>
      <x:c r="T49" s="41"/>
      <x:c r="U49" s="41"/>
    </x:row>
    <x:row r="50" ht="30" customHeight="1">
      <x:c r="A50" s="43"/>
      <x:c r="B50" s="43"/>
      <x:c r="C50" s="43"/>
      <x:c r="D50" s="43"/>
      <x:c r="E50" s="43"/>
      <x:c r="F50" s="43"/>
      <x:c r="G50" s="47"/>
      <x:c r="H50" s="47"/>
      <x:c r="I50" s="49" t="str">
        <x:f>IF(OR(G50="",H50=""),"",ROUND((H50-G50)*86400,0))</x:f>
      </x:c>
      <x:c r="J50" s="47"/>
      <x:c r="K50" s="51" t="str">
        <x:f>IF(OR(G50="",J50=""),"",ROUND((J50-G50)*1440,1))</x:f>
      </x:c>
      <x:c r="L50" s="41"/>
      <x:c r="M50" s="53"/>
      <x:c r="N50" s="53"/>
      <x:c r="O50" s="53"/>
      <x:c r="P50" s="53"/>
      <x:c r="Q50" s="41"/>
      <x:c r="R50" s="41"/>
      <x:c r="S50" s="41"/>
      <x:c r="T50" s="41"/>
      <x:c r="U50" s="41"/>
    </x:row>
    <x:row r="51" ht="30" customHeight="1">
      <x:c r="A51" s="43"/>
      <x:c r="B51" s="43"/>
      <x:c r="C51" s="43"/>
      <x:c r="D51" s="43"/>
      <x:c r="E51" s="43"/>
      <x:c r="F51" s="43"/>
      <x:c r="G51" s="47"/>
      <x:c r="H51" s="47"/>
      <x:c r="I51" s="49" t="str">
        <x:f>IF(OR(G51="",H51=""),"",ROUND((H51-G51)*86400,0))</x:f>
      </x:c>
      <x:c r="J51" s="47"/>
      <x:c r="K51" s="51" t="str">
        <x:f>IF(OR(G51="",J51=""),"",ROUND((J51-G51)*1440,1))</x:f>
      </x:c>
      <x:c r="L51" s="41"/>
      <x:c r="M51" s="53"/>
      <x:c r="N51" s="53"/>
      <x:c r="O51" s="53"/>
      <x:c r="P51" s="53"/>
      <x:c r="Q51" s="41"/>
      <x:c r="R51" s="41"/>
      <x:c r="S51" s="41"/>
      <x:c r="T51" s="41"/>
      <x:c r="U51" s="41"/>
    </x:row>
    <x:row r="52" ht="30" customHeight="1">
      <x:c r="A52" s="43"/>
      <x:c r="B52" s="43"/>
      <x:c r="C52" s="43"/>
      <x:c r="D52" s="43"/>
      <x:c r="E52" s="43"/>
      <x:c r="F52" s="43"/>
      <x:c r="G52" s="47"/>
      <x:c r="H52" s="47"/>
      <x:c r="I52" s="49" t="str">
        <x:f>IF(OR(G52="",H52=""),"",ROUND((H52-G52)*86400,0))</x:f>
      </x:c>
      <x:c r="J52" s="47"/>
      <x:c r="K52" s="51" t="str">
        <x:f>IF(OR(G52="",J52=""),"",ROUND((J52-G52)*1440,1))</x:f>
      </x:c>
      <x:c r="L52" s="41"/>
      <x:c r="M52" s="53"/>
      <x:c r="N52" s="53"/>
      <x:c r="O52" s="53"/>
      <x:c r="P52" s="53"/>
      <x:c r="Q52" s="41"/>
      <x:c r="R52" s="41"/>
      <x:c r="S52" s="41"/>
      <x:c r="T52" s="41"/>
      <x:c r="U52" s="41"/>
    </x:row>
    <x:row r="53" ht="30" customHeight="1">
      <x:c r="A53" s="43"/>
      <x:c r="B53" s="43"/>
      <x:c r="C53" s="43"/>
      <x:c r="D53" s="43"/>
      <x:c r="E53" s="43"/>
      <x:c r="F53" s="43"/>
      <x:c r="G53" s="47"/>
      <x:c r="H53" s="47"/>
      <x:c r="I53" s="49" t="str">
        <x:f>IF(OR(G53="",H53=""),"",ROUND((H53-G53)*86400,0))</x:f>
      </x:c>
      <x:c r="J53" s="47"/>
      <x:c r="K53" s="51" t="str">
        <x:f>IF(OR(G53="",J53=""),"",ROUND((J53-G53)*1440,1))</x:f>
      </x:c>
      <x:c r="L53" s="41"/>
      <x:c r="M53" s="53"/>
      <x:c r="N53" s="53"/>
      <x:c r="O53" s="53"/>
      <x:c r="P53" s="53"/>
      <x:c r="Q53" s="41"/>
      <x:c r="R53" s="41"/>
      <x:c r="S53" s="41"/>
      <x:c r="T53" s="41"/>
      <x:c r="U53" s="41"/>
    </x:row>
    <x:row r="54" ht="30" customHeight="1">
      <x:c r="A54" s="43"/>
      <x:c r="B54" s="43"/>
      <x:c r="C54" s="43"/>
      <x:c r="D54" s="43"/>
      <x:c r="E54" s="43"/>
      <x:c r="F54" s="43"/>
      <x:c r="G54" s="47"/>
      <x:c r="H54" s="47"/>
      <x:c r="I54" s="49" t="str">
        <x:f>IF(OR(G54="",H54=""),"",ROUND((H54-G54)*86400,0))</x:f>
      </x:c>
      <x:c r="J54" s="47"/>
      <x:c r="K54" s="51" t="str">
        <x:f>IF(OR(G54="",J54=""),"",ROUND((J54-G54)*1440,1))</x:f>
      </x:c>
      <x:c r="L54" s="41"/>
      <x:c r="M54" s="53"/>
      <x:c r="N54" s="53"/>
      <x:c r="O54" s="53"/>
      <x:c r="P54" s="53"/>
      <x:c r="Q54" s="41"/>
      <x:c r="R54" s="41"/>
      <x:c r="S54" s="41"/>
      <x:c r="T54" s="41"/>
      <x:c r="U54" s="41"/>
    </x:row>
    <x:row r="55" ht="30" customHeight="1">
      <x:c r="A55" s="43"/>
      <x:c r="B55" s="43"/>
      <x:c r="C55" s="43"/>
      <x:c r="D55" s="43"/>
      <x:c r="E55" s="43"/>
      <x:c r="F55" s="43"/>
      <x:c r="G55" s="47"/>
      <x:c r="H55" s="47"/>
      <x:c r="I55" s="49" t="str">
        <x:f>IF(OR(G55="",H55=""),"",ROUND((H55-G55)*86400,0))</x:f>
      </x:c>
      <x:c r="J55" s="47"/>
      <x:c r="K55" s="51" t="str">
        <x:f>IF(OR(G55="",J55=""),"",ROUND((J55-G55)*1440,1))</x:f>
      </x:c>
      <x:c r="L55" s="41"/>
      <x:c r="M55" s="53"/>
      <x:c r="N55" s="53"/>
      <x:c r="O55" s="53"/>
      <x:c r="P55" s="53"/>
      <x:c r="Q55" s="41"/>
      <x:c r="R55" s="41"/>
      <x:c r="S55" s="41"/>
      <x:c r="T55" s="41"/>
      <x:c r="U55" s="41"/>
    </x:row>
    <x:row r="56" ht="30" customHeight="1">
      <x:c r="A56" s="43"/>
      <x:c r="B56" s="43"/>
      <x:c r="C56" s="43"/>
      <x:c r="D56" s="43"/>
      <x:c r="E56" s="43"/>
      <x:c r="F56" s="43"/>
      <x:c r="G56" s="47"/>
      <x:c r="H56" s="47"/>
      <x:c r="I56" s="49" t="str">
        <x:f>IF(OR(G56="",H56=""),"",ROUND((H56-G56)*86400,0))</x:f>
      </x:c>
      <x:c r="J56" s="47"/>
      <x:c r="K56" s="51" t="str">
        <x:f>IF(OR(G56="",J56=""),"",ROUND((J56-G56)*1440,1))</x:f>
      </x:c>
      <x:c r="L56" s="41"/>
      <x:c r="M56" s="53"/>
      <x:c r="N56" s="53"/>
      <x:c r="O56" s="53"/>
      <x:c r="P56" s="53"/>
      <x:c r="Q56" s="41"/>
      <x:c r="R56" s="41"/>
      <x:c r="S56" s="41"/>
      <x:c r="T56" s="41"/>
      <x:c r="U56" s="41"/>
    </x:row>
    <x:row r="57" ht="30" customHeight="1">
      <x:c r="A57" s="43"/>
      <x:c r="B57" s="43"/>
      <x:c r="C57" s="43"/>
      <x:c r="D57" s="43"/>
      <x:c r="E57" s="43"/>
      <x:c r="F57" s="43"/>
      <x:c r="G57" s="47"/>
      <x:c r="H57" s="47"/>
      <x:c r="I57" s="49" t="str">
        <x:f>IF(OR(G57="",H57=""),"",ROUND((H57-G57)*86400,0))</x:f>
      </x:c>
      <x:c r="J57" s="47"/>
      <x:c r="K57" s="51" t="str">
        <x:f>IF(OR(G57="",J57=""),"",ROUND((J57-G57)*1440,1))</x:f>
      </x:c>
      <x:c r="L57" s="41"/>
      <x:c r="M57" s="53"/>
      <x:c r="N57" s="53"/>
      <x:c r="O57" s="53"/>
      <x:c r="P57" s="53"/>
      <x:c r="Q57" s="41"/>
      <x:c r="R57" s="41"/>
      <x:c r="S57" s="41"/>
      <x:c r="T57" s="41"/>
      <x:c r="U57" s="41"/>
    </x:row>
    <x:row r="58" ht="30" customHeight="1">
      <x:c r="A58" s="43"/>
      <x:c r="B58" s="43"/>
      <x:c r="C58" s="43"/>
      <x:c r="D58" s="43"/>
      <x:c r="E58" s="43"/>
      <x:c r="F58" s="43"/>
      <x:c r="G58" s="47"/>
      <x:c r="H58" s="47"/>
      <x:c r="I58" s="49" t="str">
        <x:f>IF(OR(G58="",H58=""),"",ROUND((H58-G58)*86400,0))</x:f>
      </x:c>
      <x:c r="J58" s="47"/>
      <x:c r="K58" s="51" t="str">
        <x:f>IF(OR(G58="",J58=""),"",ROUND((J58-G58)*1440,1))</x:f>
      </x:c>
      <x:c r="L58" s="41"/>
      <x:c r="M58" s="53"/>
      <x:c r="N58" s="53"/>
      <x:c r="O58" s="53"/>
      <x:c r="P58" s="53"/>
      <x:c r="Q58" s="41"/>
      <x:c r="R58" s="41"/>
      <x:c r="S58" s="41"/>
      <x:c r="T58" s="41"/>
      <x:c r="U58" s="41"/>
    </x:row>
    <x:row r="59" ht="30" customHeight="1">
      <x:c r="A59" s="43"/>
      <x:c r="B59" s="43"/>
      <x:c r="C59" s="43"/>
      <x:c r="D59" s="43"/>
      <x:c r="E59" s="43"/>
      <x:c r="F59" s="43"/>
      <x:c r="G59" s="47"/>
      <x:c r="H59" s="47"/>
      <x:c r="I59" s="49" t="str">
        <x:f>IF(OR(G59="",H59=""),"",ROUND((H59-G59)*86400,0))</x:f>
      </x:c>
      <x:c r="J59" s="47"/>
      <x:c r="K59" s="51" t="str">
        <x:f>IF(OR(G59="",J59=""),"",ROUND((J59-G59)*1440,1))</x:f>
      </x:c>
      <x:c r="L59" s="41"/>
      <x:c r="M59" s="53"/>
      <x:c r="N59" s="53"/>
      <x:c r="O59" s="53"/>
      <x:c r="P59" s="53"/>
      <x:c r="Q59" s="41"/>
      <x:c r="R59" s="41"/>
      <x:c r="S59" s="41"/>
      <x:c r="T59" s="41"/>
      <x:c r="U59" s="41"/>
    </x:row>
    <x:row r="60" ht="30" customHeight="1">
      <x:c r="A60" s="43"/>
      <x:c r="B60" s="43"/>
      <x:c r="C60" s="43"/>
      <x:c r="D60" s="43"/>
      <x:c r="E60" s="43"/>
      <x:c r="F60" s="43"/>
      <x:c r="G60" s="47"/>
      <x:c r="H60" s="47"/>
      <x:c r="I60" s="49" t="str">
        <x:f>IF(OR(G60="",H60=""),"",ROUND((H60-G60)*86400,0))</x:f>
      </x:c>
      <x:c r="J60" s="47"/>
      <x:c r="K60" s="51" t="str">
        <x:f>IF(OR(G60="",J60=""),"",ROUND((J60-G60)*1440,1))</x:f>
      </x:c>
      <x:c r="L60" s="41"/>
      <x:c r="M60" s="53"/>
      <x:c r="N60" s="53"/>
      <x:c r="O60" s="53"/>
      <x:c r="P60" s="53"/>
      <x:c r="Q60" s="41"/>
      <x:c r="R60" s="41"/>
      <x:c r="S60" s="41"/>
      <x:c r="T60" s="41"/>
      <x:c r="U60" s="41"/>
    </x:row>
    <x:row r="61" ht="30" customHeight="1">
      <x:c r="A61" s="43"/>
      <x:c r="B61" s="43"/>
      <x:c r="C61" s="43"/>
      <x:c r="D61" s="43"/>
      <x:c r="E61" s="43"/>
      <x:c r="F61" s="43"/>
      <x:c r="G61" s="47"/>
      <x:c r="H61" s="47"/>
      <x:c r="I61" s="49" t="str">
        <x:f>IF(OR(G61="",H61=""),"",ROUND((H61-G61)*86400,0))</x:f>
      </x:c>
      <x:c r="J61" s="47"/>
      <x:c r="K61" s="51" t="str">
        <x:f>IF(OR(G61="",J61=""),"",ROUND((J61-G61)*1440,1))</x:f>
      </x:c>
      <x:c r="L61" s="41"/>
      <x:c r="M61" s="53"/>
      <x:c r="N61" s="53"/>
      <x:c r="O61" s="53"/>
      <x:c r="P61" s="53"/>
      <x:c r="Q61" s="41"/>
      <x:c r="R61" s="41"/>
      <x:c r="S61" s="41"/>
      <x:c r="T61" s="41"/>
      <x:c r="U61" s="41"/>
    </x:row>
    <x:row r="62" ht="30" customHeight="1">
      <x:c r="A62" s="43"/>
      <x:c r="B62" s="43"/>
      <x:c r="C62" s="43"/>
      <x:c r="D62" s="43"/>
      <x:c r="E62" s="43"/>
      <x:c r="F62" s="43"/>
      <x:c r="G62" s="47"/>
      <x:c r="H62" s="47"/>
      <x:c r="I62" s="49" t="str">
        <x:f>IF(OR(G62="",H62=""),"",ROUND((H62-G62)*86400,0))</x:f>
      </x:c>
      <x:c r="J62" s="47"/>
      <x:c r="K62" s="51" t="str">
        <x:f>IF(OR(G62="",J62=""),"",ROUND((J62-G62)*1440,1))</x:f>
      </x:c>
      <x:c r="L62" s="41"/>
      <x:c r="M62" s="53"/>
      <x:c r="N62" s="53"/>
      <x:c r="O62" s="53"/>
      <x:c r="P62" s="53"/>
      <x:c r="Q62" s="41"/>
      <x:c r="R62" s="41"/>
      <x:c r="S62" s="41"/>
      <x:c r="T62" s="41"/>
      <x:c r="U62" s="41"/>
    </x:row>
    <x:row r="63" ht="30" customHeight="1">
      <x:c r="A63" s="43"/>
      <x:c r="B63" s="43"/>
      <x:c r="C63" s="43"/>
      <x:c r="D63" s="43"/>
      <x:c r="E63" s="43"/>
      <x:c r="F63" s="43"/>
      <x:c r="G63" s="47"/>
      <x:c r="H63" s="47"/>
      <x:c r="I63" s="49" t="str">
        <x:f>IF(OR(G63="",H63=""),"",ROUND((H63-G63)*86400,0))</x:f>
      </x:c>
      <x:c r="J63" s="47"/>
      <x:c r="K63" s="51" t="str">
        <x:f>IF(OR(G63="",J63=""),"",ROUND((J63-G63)*1440,1))</x:f>
      </x:c>
      <x:c r="L63" s="41"/>
      <x:c r="M63" s="53"/>
      <x:c r="N63" s="53"/>
      <x:c r="O63" s="53"/>
      <x:c r="P63" s="53"/>
      <x:c r="Q63" s="41"/>
      <x:c r="R63" s="41"/>
      <x:c r="S63" s="41"/>
      <x:c r="T63" s="41"/>
      <x:c r="U63" s="41"/>
    </x:row>
    <x:row r="64" ht="30" customHeight="1">
      <x:c r="A64" s="43"/>
      <x:c r="B64" s="43"/>
      <x:c r="C64" s="43"/>
      <x:c r="D64" s="43"/>
      <x:c r="E64" s="43"/>
      <x:c r="F64" s="43"/>
      <x:c r="G64" s="47"/>
      <x:c r="H64" s="47"/>
      <x:c r="I64" s="49" t="str">
        <x:f>IF(OR(G64="",H64=""),"",ROUND((H64-G64)*86400,0))</x:f>
      </x:c>
      <x:c r="J64" s="47"/>
      <x:c r="K64" s="51" t="str">
        <x:f>IF(OR(G64="",J64=""),"",ROUND((J64-G64)*1440,1))</x:f>
      </x:c>
      <x:c r="L64" s="41"/>
      <x:c r="M64" s="53"/>
      <x:c r="N64" s="53"/>
      <x:c r="O64" s="53"/>
      <x:c r="P64" s="53"/>
      <x:c r="Q64" s="41"/>
      <x:c r="R64" s="41"/>
      <x:c r="S64" s="41"/>
      <x:c r="T64" s="41"/>
      <x:c r="U64" s="41"/>
    </x:row>
    <x:row r="65" ht="30" customHeight="1">
      <x:c r="A65" s="43"/>
      <x:c r="B65" s="43"/>
      <x:c r="C65" s="43"/>
      <x:c r="D65" s="43"/>
      <x:c r="E65" s="43"/>
      <x:c r="F65" s="43"/>
      <x:c r="G65" s="47"/>
      <x:c r="H65" s="47"/>
      <x:c r="I65" s="49" t="str">
        <x:f>IF(OR(G65="",H65=""),"",ROUND((H65-G65)*86400,0))</x:f>
      </x:c>
      <x:c r="J65" s="47"/>
      <x:c r="K65" s="51" t="str">
        <x:f>IF(OR(G65="",J65=""),"",ROUND((J65-G65)*1440,1))</x:f>
      </x:c>
      <x:c r="L65" s="41"/>
      <x:c r="M65" s="53"/>
      <x:c r="N65" s="53"/>
      <x:c r="O65" s="53"/>
      <x:c r="P65" s="53"/>
      <x:c r="Q65" s="41"/>
      <x:c r="R65" s="41"/>
      <x:c r="S65" s="41"/>
      <x:c r="T65" s="41"/>
      <x:c r="U65" s="41"/>
    </x:row>
    <x:row r="66" ht="30" customHeight="1">
      <x:c r="A66" s="43"/>
      <x:c r="B66" s="43"/>
      <x:c r="C66" s="43"/>
      <x:c r="D66" s="43"/>
      <x:c r="E66" s="43"/>
      <x:c r="F66" s="43"/>
      <x:c r="G66" s="47"/>
      <x:c r="H66" s="47"/>
      <x:c r="I66" s="49" t="str">
        <x:f>IF(OR(G66="",H66=""),"",ROUND((H66-G66)*86400,0))</x:f>
      </x:c>
      <x:c r="J66" s="47"/>
      <x:c r="K66" s="51" t="str">
        <x:f>IF(OR(G66="",J66=""),"",ROUND((J66-G66)*1440,1))</x:f>
      </x:c>
      <x:c r="L66" s="41"/>
      <x:c r="M66" s="53"/>
      <x:c r="N66" s="53"/>
      <x:c r="O66" s="53"/>
      <x:c r="P66" s="53"/>
      <x:c r="Q66" s="41"/>
      <x:c r="R66" s="41"/>
      <x:c r="S66" s="41"/>
      <x:c r="T66" s="41"/>
      <x:c r="U66" s="41"/>
    </x:row>
    <x:row r="67" ht="30" customHeight="1">
      <x:c r="A67" s="43"/>
      <x:c r="B67" s="43"/>
      <x:c r="C67" s="43"/>
      <x:c r="D67" s="43"/>
      <x:c r="E67" s="43"/>
      <x:c r="F67" s="43"/>
      <x:c r="G67" s="47"/>
      <x:c r="H67" s="47"/>
      <x:c r="I67" s="49" t="str">
        <x:f>IF(OR(G67="",H67=""),"",ROUND((H67-G67)*86400,0))</x:f>
      </x:c>
      <x:c r="J67" s="47"/>
      <x:c r="K67" s="51" t="str">
        <x:f>IF(OR(G67="",J67=""),"",ROUND((J67-G67)*1440,1))</x:f>
      </x:c>
      <x:c r="L67" s="41"/>
      <x:c r="M67" s="53"/>
      <x:c r="N67" s="53"/>
      <x:c r="O67" s="53"/>
      <x:c r="P67" s="53"/>
      <x:c r="Q67" s="41"/>
      <x:c r="R67" s="41"/>
      <x:c r="S67" s="41"/>
      <x:c r="T67" s="41"/>
      <x:c r="U67" s="41"/>
    </x:row>
    <x:row r="68" ht="30" customHeight="1">
      <x:c r="A68" s="43"/>
      <x:c r="B68" s="43"/>
      <x:c r="C68" s="43"/>
      <x:c r="D68" s="43"/>
      <x:c r="E68" s="43"/>
      <x:c r="F68" s="43"/>
      <x:c r="G68" s="47"/>
      <x:c r="H68" s="47"/>
      <x:c r="I68" s="49" t="str">
        <x:f>IF(OR(G68="",H68=""),"",ROUND((H68-G68)*86400,0))</x:f>
      </x:c>
      <x:c r="J68" s="47"/>
      <x:c r="K68" s="51" t="str">
        <x:f>IF(OR(G68="",J68=""),"",ROUND((J68-G68)*1440,1))</x:f>
      </x:c>
      <x:c r="L68" s="41"/>
      <x:c r="M68" s="53"/>
      <x:c r="N68" s="53"/>
      <x:c r="O68" s="53"/>
      <x:c r="P68" s="53"/>
      <x:c r="Q68" s="41"/>
      <x:c r="R68" s="41"/>
      <x:c r="S68" s="41"/>
      <x:c r="T68" s="41"/>
      <x:c r="U68" s="41"/>
    </x:row>
    <x:row r="69" ht="30" customHeight="1">
      <x:c r="A69" s="43"/>
      <x:c r="B69" s="43"/>
      <x:c r="C69" s="43"/>
      <x:c r="D69" s="43"/>
      <x:c r="E69" s="43"/>
      <x:c r="F69" s="43"/>
      <x:c r="G69" s="47"/>
      <x:c r="H69" s="47"/>
      <x:c r="I69" s="49" t="str">
        <x:f>IF(OR(G69="",H69=""),"",ROUND((H69-G69)*86400,0))</x:f>
      </x:c>
      <x:c r="J69" s="47"/>
      <x:c r="K69" s="51" t="str">
        <x:f>IF(OR(G69="",J69=""),"",ROUND((J69-G69)*1440,1))</x:f>
      </x:c>
      <x:c r="L69" s="41"/>
      <x:c r="M69" s="53"/>
      <x:c r="N69" s="53"/>
      <x:c r="O69" s="53"/>
      <x:c r="P69" s="53"/>
      <x:c r="Q69" s="41"/>
      <x:c r="R69" s="41"/>
      <x:c r="S69" s="41"/>
      <x:c r="T69" s="41"/>
      <x:c r="U69" s="41"/>
    </x:row>
    <x:row r="70" ht="30" customHeight="1">
      <x:c r="A70" s="43"/>
      <x:c r="B70" s="43"/>
      <x:c r="C70" s="43"/>
      <x:c r="D70" s="43"/>
      <x:c r="E70" s="43"/>
      <x:c r="F70" s="43"/>
      <x:c r="G70" s="47"/>
      <x:c r="H70" s="47"/>
      <x:c r="I70" s="49" t="str">
        <x:f>IF(OR(G70="",H70=""),"",ROUND((H70-G70)*86400,0))</x:f>
      </x:c>
      <x:c r="J70" s="47"/>
      <x:c r="K70" s="51" t="str">
        <x:f>IF(OR(G70="",J70=""),"",ROUND((J70-G70)*1440,1))</x:f>
      </x:c>
      <x:c r="L70" s="41"/>
      <x:c r="M70" s="53"/>
      <x:c r="N70" s="53"/>
      <x:c r="O70" s="53"/>
      <x:c r="P70" s="53"/>
      <x:c r="Q70" s="41"/>
      <x:c r="R70" s="41"/>
      <x:c r="S70" s="41"/>
      <x:c r="T70" s="41"/>
      <x:c r="U70" s="41"/>
    </x:row>
    <x:row r="71" ht="30" customHeight="1">
      <x:c r="A71" s="43"/>
      <x:c r="B71" s="43"/>
      <x:c r="C71" s="43"/>
      <x:c r="D71" s="43"/>
      <x:c r="E71" s="43"/>
      <x:c r="F71" s="43"/>
      <x:c r="G71" s="47"/>
      <x:c r="H71" s="47"/>
      <x:c r="I71" s="49" t="str">
        <x:f>IF(OR(G71="",H71=""),"",ROUND((H71-G71)*86400,0))</x:f>
      </x:c>
      <x:c r="J71" s="47"/>
      <x:c r="K71" s="51" t="str">
        <x:f>IF(OR(G71="",J71=""),"",ROUND((J71-G71)*1440,1))</x:f>
      </x:c>
      <x:c r="L71" s="41"/>
      <x:c r="M71" s="53"/>
      <x:c r="N71" s="53"/>
      <x:c r="O71" s="53"/>
      <x:c r="P71" s="53"/>
      <x:c r="Q71" s="41"/>
      <x:c r="R71" s="41"/>
      <x:c r="S71" s="41"/>
      <x:c r="T71" s="41"/>
      <x:c r="U71" s="41"/>
    </x:row>
    <x:row r="72" ht="30" customHeight="1">
      <x:c r="A72" s="43"/>
      <x:c r="B72" s="43"/>
      <x:c r="C72" s="43"/>
      <x:c r="D72" s="43"/>
      <x:c r="E72" s="43"/>
      <x:c r="F72" s="43"/>
      <x:c r="G72" s="47"/>
      <x:c r="H72" s="47"/>
      <x:c r="I72" s="49" t="str">
        <x:f>IF(OR(G72="",H72=""),"",ROUND((H72-G72)*86400,0))</x:f>
      </x:c>
      <x:c r="J72" s="47"/>
      <x:c r="K72" s="51" t="str">
        <x:f>IF(OR(G72="",J72=""),"",ROUND((J72-G72)*1440,1))</x:f>
      </x:c>
      <x:c r="L72" s="41"/>
      <x:c r="M72" s="53"/>
      <x:c r="N72" s="53"/>
      <x:c r="O72" s="53"/>
      <x:c r="P72" s="53"/>
      <x:c r="Q72" s="41"/>
      <x:c r="R72" s="41"/>
      <x:c r="S72" s="41"/>
      <x:c r="T72" s="41"/>
      <x:c r="U72" s="41"/>
    </x:row>
    <x:row r="73" ht="30" customHeight="1">
      <x:c r="A73" s="43"/>
      <x:c r="B73" s="43"/>
      <x:c r="C73" s="43"/>
      <x:c r="D73" s="43"/>
      <x:c r="E73" s="43"/>
      <x:c r="F73" s="43"/>
      <x:c r="G73" s="47"/>
      <x:c r="H73" s="47"/>
      <x:c r="I73" s="49" t="str">
        <x:f>IF(OR(G73="",H73=""),"",ROUND((H73-G73)*86400,0))</x:f>
      </x:c>
      <x:c r="J73" s="47"/>
      <x:c r="K73" s="51" t="str">
        <x:f>IF(OR(G73="",J73=""),"",ROUND((J73-G73)*1440,1))</x:f>
      </x:c>
      <x:c r="L73" s="41"/>
      <x:c r="M73" s="53"/>
      <x:c r="N73" s="53"/>
      <x:c r="O73" s="53"/>
      <x:c r="P73" s="53"/>
      <x:c r="Q73" s="41"/>
      <x:c r="R73" s="41"/>
      <x:c r="S73" s="41"/>
      <x:c r="T73" s="41"/>
      <x:c r="U73" s="41"/>
    </x:row>
    <x:row r="74" ht="30" customHeight="1">
      <x:c r="A74" s="43"/>
      <x:c r="B74" s="43"/>
      <x:c r="C74" s="43"/>
      <x:c r="D74" s="43"/>
      <x:c r="E74" s="43"/>
      <x:c r="F74" s="43"/>
      <x:c r="G74" s="47"/>
      <x:c r="H74" s="47"/>
      <x:c r="I74" s="49" t="str">
        <x:f>IF(OR(G74="",H74=""),"",ROUND((H74-G74)*86400,0))</x:f>
      </x:c>
      <x:c r="J74" s="47"/>
      <x:c r="K74" s="51" t="str">
        <x:f>IF(OR(G74="",J74=""),"",ROUND((J74-G74)*1440,1))</x:f>
      </x:c>
      <x:c r="L74" s="41"/>
      <x:c r="M74" s="53"/>
      <x:c r="N74" s="53"/>
      <x:c r="O74" s="53"/>
      <x:c r="P74" s="53"/>
      <x:c r="Q74" s="41"/>
      <x:c r="R74" s="41"/>
      <x:c r="S74" s="41"/>
      <x:c r="T74" s="41"/>
      <x:c r="U74" s="41"/>
    </x:row>
    <x:row r="75" ht="30" customHeight="1">
      <x:c r="A75" s="43"/>
      <x:c r="B75" s="43"/>
      <x:c r="C75" s="43"/>
      <x:c r="D75" s="43"/>
      <x:c r="E75" s="43"/>
      <x:c r="F75" s="43"/>
      <x:c r="G75" s="47"/>
      <x:c r="H75" s="47"/>
      <x:c r="I75" s="49" t="str">
        <x:f>IF(OR(G75="",H75=""),"",ROUND((H75-G75)*86400,0))</x:f>
      </x:c>
      <x:c r="J75" s="47"/>
      <x:c r="K75" s="51" t="str">
        <x:f>IF(OR(G75="",J75=""),"",ROUND((J75-G75)*1440,1))</x:f>
      </x:c>
      <x:c r="L75" s="41"/>
      <x:c r="M75" s="53"/>
      <x:c r="N75" s="53"/>
      <x:c r="O75" s="53"/>
      <x:c r="P75" s="53"/>
      <x:c r="Q75" s="41"/>
      <x:c r="R75" s="41"/>
      <x:c r="S75" s="41"/>
      <x:c r="T75" s="41"/>
      <x:c r="U75" s="41"/>
    </x:row>
    <x:row r="76" ht="30" customHeight="1">
      <x:c r="A76" s="43"/>
      <x:c r="B76" s="43"/>
      <x:c r="C76" s="43"/>
      <x:c r="D76" s="43"/>
      <x:c r="E76" s="43"/>
      <x:c r="F76" s="43"/>
      <x:c r="G76" s="47"/>
      <x:c r="H76" s="47"/>
      <x:c r="I76" s="49" t="str">
        <x:f>IF(OR(G76="",H76=""),"",ROUND((H76-G76)*86400,0))</x:f>
      </x:c>
      <x:c r="J76" s="47"/>
      <x:c r="K76" s="51" t="str">
        <x:f>IF(OR(G76="",J76=""),"",ROUND((J76-G76)*1440,1))</x:f>
      </x:c>
      <x:c r="L76" s="41"/>
      <x:c r="M76" s="53"/>
      <x:c r="N76" s="53"/>
      <x:c r="O76" s="53"/>
      <x:c r="P76" s="53"/>
      <x:c r="Q76" s="41"/>
      <x:c r="R76" s="41"/>
      <x:c r="S76" s="41"/>
      <x:c r="T76" s="41"/>
      <x:c r="U76" s="41"/>
    </x:row>
    <x:row r="77" ht="30" customHeight="1">
      <x:c r="A77" s="43"/>
      <x:c r="B77" s="43"/>
      <x:c r="C77" s="43"/>
      <x:c r="D77" s="43"/>
      <x:c r="E77" s="43"/>
      <x:c r="F77" s="43"/>
      <x:c r="G77" s="47"/>
      <x:c r="H77" s="47"/>
      <x:c r="I77" s="49" t="str">
        <x:f>IF(OR(G77="",H77=""),"",ROUND((H77-G77)*86400,0))</x:f>
      </x:c>
      <x:c r="J77" s="47"/>
      <x:c r="K77" s="51" t="str">
        <x:f>IF(OR(G77="",J77=""),"",ROUND((J77-G77)*1440,1))</x:f>
      </x:c>
      <x:c r="L77" s="41"/>
      <x:c r="M77" s="53"/>
      <x:c r="N77" s="53"/>
      <x:c r="O77" s="53"/>
      <x:c r="P77" s="53"/>
      <x:c r="Q77" s="41"/>
      <x:c r="R77" s="41"/>
      <x:c r="S77" s="41"/>
      <x:c r="T77" s="41"/>
      <x:c r="U77" s="41"/>
    </x:row>
    <x:row r="78" ht="30" customHeight="1">
      <x:c r="A78" s="43"/>
      <x:c r="B78" s="43"/>
      <x:c r="C78" s="43"/>
      <x:c r="D78" s="43"/>
      <x:c r="E78" s="43"/>
      <x:c r="F78" s="43"/>
      <x:c r="G78" s="47"/>
      <x:c r="H78" s="47"/>
      <x:c r="I78" s="49" t="str">
        <x:f>IF(OR(G78="",H78=""),"",ROUND((H78-G78)*86400,0))</x:f>
      </x:c>
      <x:c r="J78" s="47"/>
      <x:c r="K78" s="51" t="str">
        <x:f>IF(OR(G78="",J78=""),"",ROUND((J78-G78)*1440,1))</x:f>
      </x:c>
      <x:c r="L78" s="41"/>
      <x:c r="M78" s="53"/>
      <x:c r="N78" s="53"/>
      <x:c r="O78" s="53"/>
      <x:c r="P78" s="53"/>
      <x:c r="Q78" s="41"/>
      <x:c r="R78" s="41"/>
      <x:c r="S78" s="41"/>
      <x:c r="T78" s="41"/>
      <x:c r="U78" s="41"/>
    </x:row>
    <x:row r="79" ht="30" customHeight="1">
      <x:c r="A79" s="43"/>
      <x:c r="B79" s="43"/>
      <x:c r="C79" s="43"/>
      <x:c r="D79" s="43"/>
      <x:c r="E79" s="43"/>
      <x:c r="F79" s="43"/>
      <x:c r="G79" s="47"/>
      <x:c r="H79" s="47"/>
      <x:c r="I79" s="49" t="str">
        <x:f>IF(OR(G79="",H79=""),"",ROUND((H79-G79)*86400,0))</x:f>
      </x:c>
      <x:c r="J79" s="47"/>
      <x:c r="K79" s="51" t="str">
        <x:f>IF(OR(G79="",J79=""),"",ROUND((J79-G79)*1440,1))</x:f>
      </x:c>
      <x:c r="L79" s="41"/>
      <x:c r="M79" s="53"/>
      <x:c r="N79" s="53"/>
      <x:c r="O79" s="53"/>
      <x:c r="P79" s="53"/>
      <x:c r="Q79" s="41"/>
      <x:c r="R79" s="41"/>
      <x:c r="S79" s="41"/>
      <x:c r="T79" s="41"/>
      <x:c r="U79" s="41"/>
    </x:row>
    <x:row r="80" ht="30" customHeight="1">
      <x:c r="A80" s="43"/>
      <x:c r="B80" s="43"/>
      <x:c r="C80" s="43"/>
      <x:c r="D80" s="43"/>
      <x:c r="E80" s="43"/>
      <x:c r="F80" s="43"/>
      <x:c r="G80" s="47"/>
      <x:c r="H80" s="47"/>
      <x:c r="I80" s="49" t="str">
        <x:f>IF(OR(G80="",H80=""),"",ROUND((H80-G80)*86400,0))</x:f>
      </x:c>
      <x:c r="J80" s="47"/>
      <x:c r="K80" s="51" t="str">
        <x:f>IF(OR(G80="",J80=""),"",ROUND((J80-G80)*1440,1))</x:f>
      </x:c>
      <x:c r="L80" s="41"/>
      <x:c r="M80" s="53"/>
      <x:c r="N80" s="53"/>
      <x:c r="O80" s="53"/>
      <x:c r="P80" s="53"/>
      <x:c r="Q80" s="41"/>
      <x:c r="R80" s="41"/>
      <x:c r="S80" s="41"/>
      <x:c r="T80" s="41"/>
      <x:c r="U80" s="41"/>
    </x:row>
    <x:row r="81" ht="30" customHeight="1">
      <x:c r="A81" s="43"/>
      <x:c r="B81" s="43"/>
      <x:c r="C81" s="43"/>
      <x:c r="D81" s="43"/>
      <x:c r="E81" s="43"/>
      <x:c r="F81" s="43"/>
      <x:c r="G81" s="47"/>
      <x:c r="H81" s="47"/>
      <x:c r="I81" s="49" t="str">
        <x:f>IF(OR(G81="",H81=""),"",ROUND((H81-G81)*86400,0))</x:f>
      </x:c>
      <x:c r="J81" s="47"/>
      <x:c r="K81" s="51" t="str">
        <x:f>IF(OR(G81="",J81=""),"",ROUND((J81-G81)*1440,1))</x:f>
      </x:c>
      <x:c r="L81" s="41"/>
      <x:c r="M81" s="53"/>
      <x:c r="N81" s="53"/>
      <x:c r="O81" s="53"/>
      <x:c r="P81" s="53"/>
      <x:c r="Q81" s="41"/>
      <x:c r="R81" s="41"/>
      <x:c r="S81" s="41"/>
      <x:c r="T81" s="41"/>
      <x:c r="U81" s="41"/>
    </x:row>
    <x:row r="82" ht="30" customHeight="1">
      <x:c r="A82" s="43"/>
      <x:c r="B82" s="43"/>
      <x:c r="C82" s="43"/>
      <x:c r="D82" s="43"/>
      <x:c r="E82" s="43"/>
      <x:c r="F82" s="43"/>
      <x:c r="G82" s="47"/>
      <x:c r="H82" s="47"/>
      <x:c r="I82" s="49" t="str">
        <x:f>IF(OR(G82="",H82=""),"",ROUND((H82-G82)*86400,0))</x:f>
      </x:c>
      <x:c r="J82" s="47"/>
      <x:c r="K82" s="51" t="str">
        <x:f>IF(OR(G82="",J82=""),"",ROUND((J82-G82)*1440,1))</x:f>
      </x:c>
      <x:c r="L82" s="41"/>
      <x:c r="M82" s="53"/>
      <x:c r="N82" s="53"/>
      <x:c r="O82" s="53"/>
      <x:c r="P82" s="53"/>
      <x:c r="Q82" s="41"/>
      <x:c r="R82" s="41"/>
      <x:c r="S82" s="41"/>
      <x:c r="T82" s="41"/>
      <x:c r="U82" s="41"/>
    </x:row>
    <x:row r="83" ht="30" customHeight="1">
      <x:c r="A83" s="43"/>
      <x:c r="B83" s="43"/>
      <x:c r="C83" s="43"/>
      <x:c r="D83" s="43"/>
      <x:c r="E83" s="43"/>
      <x:c r="F83" s="43"/>
      <x:c r="G83" s="47"/>
      <x:c r="H83" s="47"/>
      <x:c r="I83" s="49" t="str">
        <x:f>IF(OR(G83="",H83=""),"",ROUND((H83-G83)*86400,0))</x:f>
      </x:c>
      <x:c r="J83" s="47"/>
      <x:c r="K83" s="51" t="str">
        <x:f>IF(OR(G83="",J83=""),"",ROUND((J83-G83)*1440,1))</x:f>
      </x:c>
      <x:c r="L83" s="41"/>
      <x:c r="M83" s="53"/>
      <x:c r="N83" s="53"/>
      <x:c r="O83" s="53"/>
      <x:c r="P83" s="53"/>
      <x:c r="Q83" s="41"/>
      <x:c r="R83" s="41"/>
      <x:c r="S83" s="41"/>
      <x:c r="T83" s="41"/>
      <x:c r="U83" s="41"/>
    </x:row>
    <x:row r="84" ht="30" customHeight="1">
      <x:c r="A84" s="43"/>
      <x:c r="B84" s="43"/>
      <x:c r="C84" s="43"/>
      <x:c r="D84" s="43"/>
      <x:c r="E84" s="43"/>
      <x:c r="F84" s="43"/>
      <x:c r="G84" s="47"/>
      <x:c r="H84" s="47"/>
      <x:c r="I84" s="49" t="str">
        <x:f>IF(OR(G84="",H84=""),"",ROUND((H84-G84)*86400,0))</x:f>
      </x:c>
      <x:c r="J84" s="47"/>
      <x:c r="K84" s="51" t="str">
        <x:f>IF(OR(G84="",J84=""),"",ROUND((J84-G84)*1440,1))</x:f>
      </x:c>
      <x:c r="L84" s="41"/>
      <x:c r="M84" s="53"/>
      <x:c r="N84" s="53"/>
      <x:c r="O84" s="53"/>
      <x:c r="P84" s="53"/>
      <x:c r="Q84" s="41"/>
      <x:c r="R84" s="41"/>
      <x:c r="S84" s="41"/>
      <x:c r="T84" s="41"/>
      <x:c r="U84" s="41"/>
    </x:row>
    <x:row r="85" ht="30" customHeight="1">
      <x:c r="A85" s="43"/>
      <x:c r="B85" s="43"/>
      <x:c r="C85" s="43"/>
      <x:c r="D85" s="43"/>
      <x:c r="E85" s="43"/>
      <x:c r="F85" s="43"/>
      <x:c r="G85" s="47"/>
      <x:c r="H85" s="47"/>
      <x:c r="I85" s="49" t="str">
        <x:f>IF(OR(G85="",H85=""),"",ROUND((H85-G85)*86400,0))</x:f>
      </x:c>
      <x:c r="J85" s="47"/>
      <x:c r="K85" s="51" t="str">
        <x:f>IF(OR(G85="",J85=""),"",ROUND((J85-G85)*1440,1))</x:f>
      </x:c>
      <x:c r="L85" s="41"/>
      <x:c r="M85" s="53"/>
      <x:c r="N85" s="53"/>
      <x:c r="O85" s="53"/>
      <x:c r="P85" s="53"/>
      <x:c r="Q85" s="41"/>
      <x:c r="R85" s="41"/>
      <x:c r="S85" s="41"/>
      <x:c r="T85" s="41"/>
      <x:c r="U85" s="41"/>
    </x:row>
    <x:row r="86" ht="30" customHeight="1">
      <x:c r="A86" s="43"/>
      <x:c r="B86" s="43"/>
      <x:c r="C86" s="43"/>
      <x:c r="D86" s="43"/>
      <x:c r="E86" s="43"/>
      <x:c r="F86" s="43"/>
      <x:c r="G86" s="47"/>
      <x:c r="H86" s="47"/>
      <x:c r="I86" s="49" t="str">
        <x:f>IF(OR(G86="",H86=""),"",ROUND((H86-G86)*86400,0))</x:f>
      </x:c>
      <x:c r="J86" s="47"/>
      <x:c r="K86" s="51" t="str">
        <x:f>IF(OR(G86="",J86=""),"",ROUND((J86-G86)*1440,1))</x:f>
      </x:c>
      <x:c r="L86" s="41"/>
      <x:c r="M86" s="53"/>
      <x:c r="N86" s="53"/>
      <x:c r="O86" s="53"/>
      <x:c r="P86" s="53"/>
      <x:c r="Q86" s="41"/>
      <x:c r="R86" s="41"/>
      <x:c r="S86" s="41"/>
      <x:c r="T86" s="41"/>
      <x:c r="U86" s="41"/>
    </x:row>
    <x:row r="87" ht="30" customHeight="1">
      <x:c r="A87" s="43"/>
      <x:c r="B87" s="43"/>
      <x:c r="C87" s="43"/>
      <x:c r="D87" s="43"/>
      <x:c r="E87" s="43"/>
      <x:c r="F87" s="43"/>
      <x:c r="G87" s="47"/>
      <x:c r="H87" s="47"/>
      <x:c r="I87" s="49" t="str">
        <x:f>IF(OR(G87="",H87=""),"",ROUND((H87-G87)*86400,0))</x:f>
      </x:c>
      <x:c r="J87" s="47"/>
      <x:c r="K87" s="51" t="str">
        <x:f>IF(OR(G87="",J87=""),"",ROUND((J87-G87)*1440,1))</x:f>
      </x:c>
      <x:c r="L87" s="41"/>
      <x:c r="M87" s="53"/>
      <x:c r="N87" s="53"/>
      <x:c r="O87" s="53"/>
      <x:c r="P87" s="53"/>
      <x:c r="Q87" s="41"/>
      <x:c r="R87" s="41"/>
      <x:c r="S87" s="41"/>
      <x:c r="T87" s="41"/>
      <x:c r="U87" s="41"/>
    </x:row>
    <x:row r="88" ht="30" customHeight="1">
      <x:c r="A88" s="43"/>
      <x:c r="B88" s="43"/>
      <x:c r="C88" s="43"/>
      <x:c r="D88" s="43"/>
      <x:c r="E88" s="43"/>
      <x:c r="F88" s="43"/>
      <x:c r="G88" s="47"/>
      <x:c r="H88" s="47"/>
      <x:c r="I88" s="49" t="str">
        <x:f>IF(OR(G88="",H88=""),"",ROUND((H88-G88)*86400,0))</x:f>
      </x:c>
      <x:c r="J88" s="47"/>
      <x:c r="K88" s="51" t="str">
        <x:f>IF(OR(G88="",J88=""),"",ROUND((J88-G88)*1440,1))</x:f>
      </x:c>
      <x:c r="L88" s="41"/>
      <x:c r="M88" s="53"/>
      <x:c r="N88" s="53"/>
      <x:c r="O88" s="53"/>
      <x:c r="P88" s="53"/>
      <x:c r="Q88" s="41"/>
      <x:c r="R88" s="41"/>
      <x:c r="S88" s="41"/>
      <x:c r="T88" s="41"/>
      <x:c r="U88" s="41"/>
    </x:row>
    <x:row r="89" ht="30" customHeight="1">
      <x:c r="A89" s="43"/>
      <x:c r="B89" s="43"/>
      <x:c r="C89" s="43"/>
      <x:c r="D89" s="43"/>
      <x:c r="E89" s="43"/>
      <x:c r="F89" s="43"/>
      <x:c r="G89" s="47"/>
      <x:c r="H89" s="47"/>
      <x:c r="I89" s="49" t="str">
        <x:f>IF(OR(G89="",H89=""),"",ROUND((H89-G89)*86400,0))</x:f>
      </x:c>
      <x:c r="J89" s="47"/>
      <x:c r="K89" s="51" t="str">
        <x:f>IF(OR(G89="",J89=""),"",ROUND((J89-G89)*1440,1))</x:f>
      </x:c>
      <x:c r="L89" s="41"/>
      <x:c r="M89" s="53"/>
      <x:c r="N89" s="53"/>
      <x:c r="O89" s="53"/>
      <x:c r="P89" s="53"/>
      <x:c r="Q89" s="41"/>
      <x:c r="R89" s="41"/>
      <x:c r="S89" s="41"/>
      <x:c r="T89" s="41"/>
      <x:c r="U89" s="41"/>
    </x:row>
    <x:row r="90" ht="30" customHeight="1">
      <x:c r="A90" s="43"/>
      <x:c r="B90" s="43"/>
      <x:c r="C90" s="43"/>
      <x:c r="D90" s="43"/>
      <x:c r="E90" s="43"/>
      <x:c r="F90" s="43"/>
      <x:c r="G90" s="47"/>
      <x:c r="H90" s="47"/>
      <x:c r="I90" s="49" t="str">
        <x:f>IF(OR(G90="",H90=""),"",ROUND((H90-G90)*86400,0))</x:f>
      </x:c>
      <x:c r="J90" s="47"/>
      <x:c r="K90" s="51" t="str">
        <x:f>IF(OR(G90="",J90=""),"",ROUND((J90-G90)*1440,1))</x:f>
      </x:c>
      <x:c r="L90" s="41"/>
      <x:c r="M90" s="53"/>
      <x:c r="N90" s="53"/>
      <x:c r="O90" s="53"/>
      <x:c r="P90" s="53"/>
      <x:c r="Q90" s="41"/>
      <x:c r="R90" s="41"/>
      <x:c r="S90" s="41"/>
      <x:c r="T90" s="41"/>
      <x:c r="U90" s="41"/>
    </x:row>
    <x:row r="91" ht="30" customHeight="1">
      <x:c r="A91" s="43"/>
      <x:c r="B91" s="43"/>
      <x:c r="C91" s="43"/>
      <x:c r="D91" s="43"/>
      <x:c r="E91" s="43"/>
      <x:c r="F91" s="43"/>
      <x:c r="G91" s="47"/>
      <x:c r="H91" s="47"/>
      <x:c r="I91" s="49" t="str">
        <x:f>IF(OR(G91="",H91=""),"",ROUND((H91-G91)*86400,0))</x:f>
      </x:c>
      <x:c r="J91" s="47"/>
      <x:c r="K91" s="51" t="str">
        <x:f>IF(OR(G91="",J91=""),"",ROUND((J91-G91)*1440,1))</x:f>
      </x:c>
      <x:c r="L91" s="41"/>
      <x:c r="M91" s="53"/>
      <x:c r="N91" s="53"/>
      <x:c r="O91" s="53"/>
      <x:c r="P91" s="53"/>
      <x:c r="Q91" s="41"/>
      <x:c r="R91" s="41"/>
      <x:c r="S91" s="41"/>
      <x:c r="T91" s="41"/>
      <x:c r="U91" s="41"/>
    </x:row>
    <x:row r="92" ht="30" customHeight="1">
      <x:c r="A92" s="43"/>
      <x:c r="B92" s="43"/>
      <x:c r="C92" s="43"/>
      <x:c r="D92" s="43"/>
      <x:c r="E92" s="43"/>
      <x:c r="F92" s="43"/>
      <x:c r="G92" s="47"/>
      <x:c r="H92" s="47"/>
      <x:c r="I92" s="49" t="str">
        <x:f>IF(OR(G92="",H92=""),"",ROUND((H92-G92)*86400,0))</x:f>
      </x:c>
      <x:c r="J92" s="47"/>
      <x:c r="K92" s="51" t="str">
        <x:f>IF(OR(G92="",J92=""),"",ROUND((J92-G92)*1440,1))</x:f>
      </x:c>
      <x:c r="L92" s="41"/>
      <x:c r="M92" s="53"/>
      <x:c r="N92" s="53"/>
      <x:c r="O92" s="53"/>
      <x:c r="P92" s="53"/>
      <x:c r="Q92" s="41"/>
      <x:c r="R92" s="41"/>
      <x:c r="S92" s="41"/>
      <x:c r="T92" s="41"/>
      <x:c r="U92" s="41"/>
    </x:row>
    <x:row r="93" ht="30" customHeight="1">
      <x:c r="A93" s="43"/>
      <x:c r="B93" s="43"/>
      <x:c r="C93" s="43"/>
      <x:c r="D93" s="43"/>
      <x:c r="E93" s="43"/>
      <x:c r="F93" s="43"/>
      <x:c r="G93" s="47"/>
      <x:c r="H93" s="47"/>
      <x:c r="I93" s="49" t="str">
        <x:f>IF(OR(G93="",H93=""),"",ROUND((H93-G93)*86400,0))</x:f>
      </x:c>
      <x:c r="J93" s="47"/>
      <x:c r="K93" s="51" t="str">
        <x:f>IF(OR(G93="",J93=""),"",ROUND((J93-G93)*1440,1))</x:f>
      </x:c>
      <x:c r="L93" s="41"/>
      <x:c r="M93" s="53"/>
      <x:c r="N93" s="53"/>
      <x:c r="O93" s="53"/>
      <x:c r="P93" s="53"/>
      <x:c r="Q93" s="41"/>
      <x:c r="R93" s="41"/>
      <x:c r="S93" s="41"/>
      <x:c r="T93" s="41"/>
      <x:c r="U93" s="41"/>
    </x:row>
    <x:row r="94" ht="30" customHeight="1">
      <x:c r="A94" s="43"/>
      <x:c r="B94" s="43"/>
      <x:c r="C94" s="43"/>
      <x:c r="D94" s="43"/>
      <x:c r="E94" s="43"/>
      <x:c r="F94" s="43"/>
      <x:c r="G94" s="47"/>
      <x:c r="H94" s="47"/>
      <x:c r="I94" s="49" t="str">
        <x:f>IF(OR(G94="",H94=""),"",ROUND((H94-G94)*86400,0))</x:f>
      </x:c>
      <x:c r="J94" s="47"/>
      <x:c r="K94" s="51" t="str">
        <x:f>IF(OR(G94="",J94=""),"",ROUND((J94-G94)*1440,1))</x:f>
      </x:c>
      <x:c r="L94" s="41"/>
      <x:c r="M94" s="53"/>
      <x:c r="N94" s="53"/>
      <x:c r="O94" s="53"/>
      <x:c r="P94" s="53"/>
      <x:c r="Q94" s="41"/>
      <x:c r="R94" s="41"/>
      <x:c r="S94" s="41"/>
      <x:c r="T94" s="41"/>
      <x:c r="U94" s="41"/>
    </x:row>
    <x:row r="95" ht="30" customHeight="1">
      <x:c r="A95" s="43"/>
      <x:c r="B95" s="43"/>
      <x:c r="C95" s="43"/>
      <x:c r="D95" s="43"/>
      <x:c r="E95" s="43"/>
      <x:c r="F95" s="43"/>
      <x:c r="G95" s="47"/>
      <x:c r="H95" s="47"/>
      <x:c r="I95" s="49" t="str">
        <x:f>IF(OR(G95="",H95=""),"",ROUND((H95-G95)*86400,0))</x:f>
      </x:c>
      <x:c r="J95" s="47"/>
      <x:c r="K95" s="51" t="str">
        <x:f>IF(OR(G95="",J95=""),"",ROUND((J95-G95)*1440,1))</x:f>
      </x:c>
      <x:c r="L95" s="41"/>
      <x:c r="M95" s="53"/>
      <x:c r="N95" s="53"/>
      <x:c r="O95" s="53"/>
      <x:c r="P95" s="53"/>
      <x:c r="Q95" s="41"/>
      <x:c r="R95" s="41"/>
      <x:c r="S95" s="41"/>
      <x:c r="T95" s="41"/>
      <x:c r="U95" s="41"/>
    </x:row>
    <x:row r="96" ht="30" customHeight="1">
      <x:c r="A96" s="43"/>
      <x:c r="B96" s="43"/>
      <x:c r="C96" s="43"/>
      <x:c r="D96" s="43"/>
      <x:c r="E96" s="43"/>
      <x:c r="F96" s="43"/>
      <x:c r="G96" s="47"/>
      <x:c r="H96" s="47"/>
      <x:c r="I96" s="49" t="str">
        <x:f>IF(OR(G96="",H96=""),"",ROUND((H96-G96)*86400,0))</x:f>
      </x:c>
      <x:c r="J96" s="47"/>
      <x:c r="K96" s="51" t="str">
        <x:f>IF(OR(G96="",J96=""),"",ROUND((J96-G96)*1440,1))</x:f>
      </x:c>
      <x:c r="L96" s="41"/>
      <x:c r="M96" s="53"/>
      <x:c r="N96" s="53"/>
      <x:c r="O96" s="53"/>
      <x:c r="P96" s="53"/>
      <x:c r="Q96" s="41"/>
      <x:c r="R96" s="41"/>
      <x:c r="S96" s="41"/>
      <x:c r="T96" s="41"/>
      <x:c r="U96" s="41"/>
    </x:row>
    <x:row r="97" ht="30" customHeight="1">
      <x:c r="A97" s="43"/>
      <x:c r="B97" s="43"/>
      <x:c r="C97" s="43"/>
      <x:c r="D97" s="43"/>
      <x:c r="E97" s="43"/>
      <x:c r="F97" s="43"/>
      <x:c r="G97" s="47"/>
      <x:c r="H97" s="47"/>
      <x:c r="I97" s="49" t="str">
        <x:f>IF(OR(G97="",H97=""),"",ROUND((H97-G97)*86400,0))</x:f>
      </x:c>
      <x:c r="J97" s="47"/>
      <x:c r="K97" s="51" t="str">
        <x:f>IF(OR(G97="",J97=""),"",ROUND((J97-G97)*1440,1))</x:f>
      </x:c>
      <x:c r="L97" s="41"/>
      <x:c r="M97" s="53"/>
      <x:c r="N97" s="53"/>
      <x:c r="O97" s="53"/>
      <x:c r="P97" s="53"/>
      <x:c r="Q97" s="41"/>
      <x:c r="R97" s="41"/>
      <x:c r="S97" s="41"/>
      <x:c r="T97" s="41"/>
      <x:c r="U97" s="41"/>
    </x:row>
    <x:row r="98" ht="30" customHeight="1">
      <x:c r="A98" s="43"/>
      <x:c r="B98" s="43"/>
      <x:c r="C98" s="43"/>
      <x:c r="D98" s="43"/>
      <x:c r="E98" s="43"/>
      <x:c r="F98" s="43"/>
      <x:c r="G98" s="47"/>
      <x:c r="H98" s="47"/>
      <x:c r="I98" s="49" t="str">
        <x:f>IF(OR(G98="",H98=""),"",ROUND((H98-G98)*86400,0))</x:f>
      </x:c>
      <x:c r="J98" s="47"/>
      <x:c r="K98" s="51" t="str">
        <x:f>IF(OR(G98="",J98=""),"",ROUND((J98-G98)*1440,1))</x:f>
      </x:c>
      <x:c r="L98" s="41"/>
      <x:c r="M98" s="53"/>
      <x:c r="N98" s="53"/>
      <x:c r="O98" s="53"/>
      <x:c r="P98" s="53"/>
      <x:c r="Q98" s="41"/>
      <x:c r="R98" s="41"/>
      <x:c r="S98" s="41"/>
      <x:c r="T98" s="41"/>
      <x:c r="U98" s="41"/>
    </x:row>
    <x:row r="99" ht="30" customHeight="1">
      <x:c r="A99" s="43"/>
      <x:c r="B99" s="43"/>
      <x:c r="C99" s="43"/>
      <x:c r="D99" s="43"/>
      <x:c r="E99" s="43"/>
      <x:c r="F99" s="43"/>
      <x:c r="G99" s="47"/>
      <x:c r="H99" s="47"/>
      <x:c r="I99" s="49" t="str">
        <x:f>IF(OR(G99="",H99=""),"",ROUND((H99-G99)*86400,0))</x:f>
      </x:c>
      <x:c r="J99" s="47"/>
      <x:c r="K99" s="51" t="str">
        <x:f>IF(OR(G99="",J99=""),"",ROUND((J99-G99)*1440,1))</x:f>
      </x:c>
      <x:c r="L99" s="41"/>
      <x:c r="M99" s="53"/>
      <x:c r="N99" s="53"/>
      <x:c r="O99" s="53"/>
      <x:c r="P99" s="53"/>
      <x:c r="Q99" s="41"/>
      <x:c r="R99" s="41"/>
      <x:c r="S99" s="41"/>
      <x:c r="T99" s="41"/>
      <x:c r="U99" s="41"/>
    </x:row>
    <x:row r="100" ht="30" customHeight="1">
      <x:c r="A100" s="43"/>
      <x:c r="B100" s="43"/>
      <x:c r="C100" s="43"/>
      <x:c r="D100" s="43"/>
      <x:c r="E100" s="43"/>
      <x:c r="F100" s="43"/>
      <x:c r="G100" s="47"/>
      <x:c r="H100" s="47"/>
      <x:c r="I100" s="49" t="str">
        <x:f>IF(OR(G100="",H100=""),"",ROUND((H100-G100)*86400,0))</x:f>
      </x:c>
      <x:c r="J100" s="47"/>
      <x:c r="K100" s="51" t="str">
        <x:f>IF(OR(G100="",J100=""),"",ROUND((J100-G100)*1440,1))</x:f>
      </x:c>
      <x:c r="L100" s="41"/>
      <x:c r="M100" s="53"/>
      <x:c r="N100" s="53"/>
      <x:c r="O100" s="53"/>
      <x:c r="P100" s="53"/>
      <x:c r="Q100" s="41"/>
      <x:c r="R100" s="41"/>
      <x:c r="S100" s="41"/>
      <x:c r="T100" s="41"/>
      <x:c r="U100" s="41"/>
    </x:row>
    <x:row r="101" ht="30" customHeight="1">
      <x:c r="A101" s="43"/>
      <x:c r="B101" s="43"/>
      <x:c r="C101" s="43"/>
      <x:c r="D101" s="43"/>
      <x:c r="E101" s="43"/>
      <x:c r="F101" s="43"/>
      <x:c r="G101" s="47"/>
      <x:c r="H101" s="47"/>
      <x:c r="I101" s="49" t="str">
        <x:f>IF(OR(G101="",H101=""),"",ROUND((H101-G101)*86400,0))</x:f>
      </x:c>
      <x:c r="J101" s="47"/>
      <x:c r="K101" s="51" t="str">
        <x:f>IF(OR(G101="",J101=""),"",ROUND((J101-G101)*1440,1))</x:f>
      </x:c>
      <x:c r="L101" s="41"/>
      <x:c r="M101" s="53"/>
      <x:c r="N101" s="53"/>
      <x:c r="O101" s="53"/>
      <x:c r="P101" s="53"/>
      <x:c r="Q101" s="41"/>
      <x:c r="R101" s="41"/>
      <x:c r="S101" s="41"/>
      <x:c r="T101" s="41"/>
      <x:c r="U101" s="41"/>
    </x:row>
    <x:row r="102" ht="30" customHeight="1">
      <x:c r="A102" s="43"/>
      <x:c r="B102" s="43"/>
      <x:c r="C102" s="43"/>
      <x:c r="D102" s="43"/>
      <x:c r="E102" s="43"/>
      <x:c r="F102" s="43"/>
      <x:c r="G102" s="47"/>
      <x:c r="H102" s="47"/>
      <x:c r="I102" s="49" t="str">
        <x:f>IF(OR(G102="",H102=""),"",ROUND((H102-G102)*86400,0))</x:f>
      </x:c>
      <x:c r="J102" s="47"/>
      <x:c r="K102" s="51" t="str">
        <x:f>IF(OR(G102="",J102=""),"",ROUND((J102-G102)*1440,1))</x:f>
      </x:c>
      <x:c r="L102" s="41"/>
      <x:c r="M102" s="53"/>
      <x:c r="N102" s="53"/>
      <x:c r="O102" s="53"/>
      <x:c r="P102" s="53"/>
      <x:c r="Q102" s="41"/>
      <x:c r="R102" s="41"/>
      <x:c r="S102" s="41"/>
      <x:c r="T102" s="41"/>
      <x:c r="U102" s="41"/>
    </x:row>
    <x:row r="103" ht="30" customHeight="1">
      <x:c r="A103" s="43"/>
      <x:c r="B103" s="43"/>
      <x:c r="C103" s="43"/>
      <x:c r="D103" s="43"/>
      <x:c r="E103" s="43"/>
      <x:c r="F103" s="43"/>
      <x:c r="G103" s="47"/>
      <x:c r="H103" s="47"/>
      <x:c r="I103" s="49" t="str">
        <x:f>IF(OR(G103="",H103=""),"",ROUND((H103-G103)*86400,0))</x:f>
      </x:c>
      <x:c r="J103" s="47"/>
      <x:c r="K103" s="51" t="str">
        <x:f>IF(OR(G103="",J103=""),"",ROUND((J103-G103)*1440,1))</x:f>
      </x:c>
      <x:c r="L103" s="41"/>
      <x:c r="M103" s="53"/>
      <x:c r="N103" s="53"/>
      <x:c r="O103" s="53"/>
      <x:c r="P103" s="53"/>
      <x:c r="Q103" s="41"/>
      <x:c r="R103" s="41"/>
      <x:c r="S103" s="41"/>
      <x:c r="T103" s="41"/>
      <x:c r="U103" s="41"/>
    </x:row>
    <x:row r="104" ht="30" customHeight="1">
      <x:c r="A104" s="43"/>
      <x:c r="B104" s="43"/>
      <x:c r="C104" s="43"/>
      <x:c r="D104" s="43"/>
      <x:c r="E104" s="43"/>
      <x:c r="F104" s="43"/>
      <x:c r="G104" s="47"/>
      <x:c r="H104" s="47"/>
      <x:c r="I104" s="49" t="str">
        <x:f>IF(OR(G104="",H104=""),"",ROUND((H104-G104)*86400,0))</x:f>
      </x:c>
      <x:c r="J104" s="47"/>
      <x:c r="K104" s="51" t="str">
        <x:f>IF(OR(G104="",J104=""),"",ROUND((J104-G104)*1440,1))</x:f>
      </x:c>
      <x:c r="L104" s="41"/>
      <x:c r="M104" s="53"/>
      <x:c r="N104" s="53"/>
      <x:c r="O104" s="53"/>
      <x:c r="P104" s="53"/>
      <x:c r="Q104" s="41"/>
      <x:c r="R104" s="41"/>
      <x:c r="S104" s="41"/>
      <x:c r="T104" s="41"/>
      <x:c r="U104" s="41"/>
    </x:row>
  </x:sheetData>
  <x:dataValidations count="6">
    <x:dataValidation type="list" sqref="B5:B104">
      <x:formula1>"Desktop,Mobile"</x:formula1>
    </x:dataValidation>
    <x:dataValidation type="list" sqref="C5:C104">
      <x:formula1>"W09,W10"</x:formula1>
    </x:dataValidation>
    <x:dataValidation type="list" sqref="L5:L104">
      <x:formula1>"Yes,No"</x:formula1>
    </x:dataValidation>
    <x:dataValidation type="whole" operator="between" sqref="M5:P104">
      <x:formula1>0</x:formula1>
      <x:formula2>50</x:formula2>
    </x:dataValidation>
    <x:dataValidation type="list" sqref="Q5:Q104">
      <x:formula1>"None,P2,P1,P0"</x:formula1>
    </x:dataValidation>
    <x:dataValidation type="whole" operator="between" sqref="R5:S104">
      <x:formula1>1</x:formula1>
      <x:formula2>5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697A6"/>
  </x:sheetPr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8" hidden="0" customWidth="1"/>
    <x:col min="2" max="2" width="12" hidden="0" customWidth="1"/>
    <x:col min="3" max="3" width="10" hidden="0" customWidth="1"/>
    <x:col min="4" max="4" width="10" hidden="0" customWidth="1"/>
    <x:col min="5" max="5" width="24" hidden="0" customWidth="1"/>
    <x:col min="6" max="6" width="44" hidden="0" customWidth="1"/>
    <x:col min="7" max="7" width="44" hidden="0" customWidth="1"/>
    <x:col min="8" max="8" width="12" hidden="0" customWidth="1"/>
    <x:col min="9" max="9" width="34" hidden="0" customWidth="1"/>
    <x:col min="10" max="10" width="42" hidden="0" customWidth="1"/>
  </x:cols>
  <x:sheetData>
    <x:row r="1" ht="22" customHeight="1">
      <x:c r="A1" s="1" t="str">
        <x:v>Observations</x:v>
      </x:c>
    </x:row>
    <x:row r="2" ht="22" customHeight="1">
      <x:c r="A2" s="2" t="str">
        <x:v>只記對設計決策有用的事件；自由文字不可含個人身份資訊</x:v>
      </x:c>
    </x:row>
    <x:row r="3" ht="2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38" customHeight="1">
      <x:c r="A4" s="12" t="str">
        <x:v>Participant Code</x:v>
      </x:c>
      <x:c r="B4" s="25" t="str">
        <x:v>Device</x:v>
      </x:c>
      <x:c r="C4" s="25" t="str">
        <x:v>Week</x:v>
      </x:c>
      <x:c r="D4" s="25" t="str">
        <x:v>Minute</x:v>
      </x:c>
      <x:c r="E4" s="25" t="str">
        <x:v>Screen or Step</x:v>
      </x:c>
      <x:c r="F4" s="25" t="str">
        <x:v>Observed Behavior</x:v>
      </x:c>
      <x:c r="G4" s="25" t="str">
        <x:v>Participant Words No PII</x:v>
      </x:c>
      <x:c r="H4" s="25" t="str">
        <x:v>Severity</x:v>
      </x:c>
      <x:c r="I4" s="25" t="str">
        <x:v>Intervention</x:v>
      </x:c>
      <x:c r="J4" s="13" t="str">
        <x:v>Candidate Change</x:v>
      </x:c>
    </x:row>
    <x:row r="5" ht="44" customHeight="1">
      <x:c r="A5" s="40"/>
      <x:c r="B5" s="40"/>
      <x:c r="C5" s="40"/>
      <x:c r="D5" s="54"/>
      <x:c r="E5" s="40"/>
      <x:c r="F5" s="40"/>
      <x:c r="G5" s="40"/>
      <x:c r="H5" s="40"/>
      <x:c r="I5" s="40"/>
      <x:c r="J5" s="40"/>
    </x:row>
    <x:row r="6" ht="44" customHeight="1">
      <x:c r="A6" s="41"/>
      <x:c r="B6" s="41"/>
      <x:c r="C6" s="41"/>
      <x:c r="D6" s="55"/>
      <x:c r="E6" s="41"/>
      <x:c r="F6" s="41"/>
      <x:c r="G6" s="41"/>
      <x:c r="H6" s="41"/>
      <x:c r="I6" s="41"/>
      <x:c r="J6" s="41"/>
    </x:row>
    <x:row r="7" ht="44" customHeight="1">
      <x:c r="A7" s="41"/>
      <x:c r="B7" s="41"/>
      <x:c r="C7" s="41"/>
      <x:c r="D7" s="55"/>
      <x:c r="E7" s="41"/>
      <x:c r="F7" s="41"/>
      <x:c r="G7" s="41"/>
      <x:c r="H7" s="41"/>
      <x:c r="I7" s="41"/>
      <x:c r="J7" s="41"/>
    </x:row>
    <x:row r="8" ht="44" customHeight="1">
      <x:c r="A8" s="41"/>
      <x:c r="B8" s="41"/>
      <x:c r="C8" s="41"/>
      <x:c r="D8" s="55"/>
      <x:c r="E8" s="41"/>
      <x:c r="F8" s="41"/>
      <x:c r="G8" s="41"/>
      <x:c r="H8" s="41"/>
      <x:c r="I8" s="41"/>
      <x:c r="J8" s="41"/>
    </x:row>
    <x:row r="9" ht="44" customHeight="1">
      <x:c r="A9" s="41"/>
      <x:c r="B9" s="41"/>
      <x:c r="C9" s="41"/>
      <x:c r="D9" s="55"/>
      <x:c r="E9" s="41"/>
      <x:c r="F9" s="41"/>
      <x:c r="G9" s="41"/>
      <x:c r="H9" s="41"/>
      <x:c r="I9" s="41"/>
      <x:c r="J9" s="41"/>
    </x:row>
    <x:row r="10" ht="44" customHeight="1">
      <x:c r="A10" s="41"/>
      <x:c r="B10" s="41"/>
      <x:c r="C10" s="41"/>
      <x:c r="D10" s="55"/>
      <x:c r="E10" s="41"/>
      <x:c r="F10" s="41"/>
      <x:c r="G10" s="41"/>
      <x:c r="H10" s="41"/>
      <x:c r="I10" s="41"/>
      <x:c r="J10" s="41"/>
    </x:row>
    <x:row r="11" ht="44" customHeight="1">
      <x:c r="A11" s="41"/>
      <x:c r="B11" s="41"/>
      <x:c r="C11" s="41"/>
      <x:c r="D11" s="55"/>
      <x:c r="E11" s="41"/>
      <x:c r="F11" s="41"/>
      <x:c r="G11" s="41"/>
      <x:c r="H11" s="41"/>
      <x:c r="I11" s="41"/>
      <x:c r="J11" s="41"/>
    </x:row>
    <x:row r="12" ht="44" customHeight="1">
      <x:c r="A12" s="41"/>
      <x:c r="B12" s="41"/>
      <x:c r="C12" s="41"/>
      <x:c r="D12" s="55"/>
      <x:c r="E12" s="41"/>
      <x:c r="F12" s="41"/>
      <x:c r="G12" s="41"/>
      <x:c r="H12" s="41"/>
      <x:c r="I12" s="41"/>
      <x:c r="J12" s="41"/>
    </x:row>
    <x:row r="13" ht="44" customHeight="1">
      <x:c r="A13" s="41"/>
      <x:c r="B13" s="41"/>
      <x:c r="C13" s="41"/>
      <x:c r="D13" s="55"/>
      <x:c r="E13" s="41"/>
      <x:c r="F13" s="41"/>
      <x:c r="G13" s="41"/>
      <x:c r="H13" s="41"/>
      <x:c r="I13" s="41"/>
      <x:c r="J13" s="41"/>
    </x:row>
    <x:row r="14" ht="44" customHeight="1">
      <x:c r="A14" s="41"/>
      <x:c r="B14" s="41"/>
      <x:c r="C14" s="41"/>
      <x:c r="D14" s="55"/>
      <x:c r="E14" s="41"/>
      <x:c r="F14" s="41"/>
      <x:c r="G14" s="41"/>
      <x:c r="H14" s="41"/>
      <x:c r="I14" s="41"/>
      <x:c r="J14" s="41"/>
    </x:row>
    <x:row r="15" ht="44" customHeight="1">
      <x:c r="A15" s="41"/>
      <x:c r="B15" s="41"/>
      <x:c r="C15" s="41"/>
      <x:c r="D15" s="55"/>
      <x:c r="E15" s="41"/>
      <x:c r="F15" s="41"/>
      <x:c r="G15" s="41"/>
      <x:c r="H15" s="41"/>
      <x:c r="I15" s="41"/>
      <x:c r="J15" s="41"/>
    </x:row>
    <x:row r="16" ht="44" customHeight="1">
      <x:c r="A16" s="41"/>
      <x:c r="B16" s="41"/>
      <x:c r="C16" s="41"/>
      <x:c r="D16" s="55"/>
      <x:c r="E16" s="41"/>
      <x:c r="F16" s="41"/>
      <x:c r="G16" s="41"/>
      <x:c r="H16" s="41"/>
      <x:c r="I16" s="41"/>
      <x:c r="J16" s="41"/>
    </x:row>
    <x:row r="17" ht="44" customHeight="1">
      <x:c r="A17" s="41"/>
      <x:c r="B17" s="41"/>
      <x:c r="C17" s="41"/>
      <x:c r="D17" s="55"/>
      <x:c r="E17" s="41"/>
      <x:c r="F17" s="41"/>
      <x:c r="G17" s="41"/>
      <x:c r="H17" s="41"/>
      <x:c r="I17" s="41"/>
      <x:c r="J17" s="41"/>
    </x:row>
    <x:row r="18" ht="44" customHeight="1">
      <x:c r="A18" s="41"/>
      <x:c r="B18" s="41"/>
      <x:c r="C18" s="41"/>
      <x:c r="D18" s="55"/>
      <x:c r="E18" s="41"/>
      <x:c r="F18" s="41"/>
      <x:c r="G18" s="41"/>
      <x:c r="H18" s="41"/>
      <x:c r="I18" s="41"/>
      <x:c r="J18" s="41"/>
    </x:row>
    <x:row r="19" ht="44" customHeight="1">
      <x:c r="A19" s="41"/>
      <x:c r="B19" s="41"/>
      <x:c r="C19" s="41"/>
      <x:c r="D19" s="55"/>
      <x:c r="E19" s="41"/>
      <x:c r="F19" s="41"/>
      <x:c r="G19" s="41"/>
      <x:c r="H19" s="41"/>
      <x:c r="I19" s="41"/>
      <x:c r="J19" s="41"/>
    </x:row>
    <x:row r="20" ht="44" customHeight="1">
      <x:c r="A20" s="41"/>
      <x:c r="B20" s="41"/>
      <x:c r="C20" s="41"/>
      <x:c r="D20" s="55"/>
      <x:c r="E20" s="41"/>
      <x:c r="F20" s="41"/>
      <x:c r="G20" s="41"/>
      <x:c r="H20" s="41"/>
      <x:c r="I20" s="41"/>
      <x:c r="J20" s="41"/>
    </x:row>
    <x:row r="21" ht="44" customHeight="1">
      <x:c r="A21" s="41"/>
      <x:c r="B21" s="41"/>
      <x:c r="C21" s="41"/>
      <x:c r="D21" s="55"/>
      <x:c r="E21" s="41"/>
      <x:c r="F21" s="41"/>
      <x:c r="G21" s="41"/>
      <x:c r="H21" s="41"/>
      <x:c r="I21" s="41"/>
      <x:c r="J21" s="41"/>
    </x:row>
    <x:row r="22" ht="44" customHeight="1">
      <x:c r="A22" s="41"/>
      <x:c r="B22" s="41"/>
      <x:c r="C22" s="41"/>
      <x:c r="D22" s="55"/>
      <x:c r="E22" s="41"/>
      <x:c r="F22" s="41"/>
      <x:c r="G22" s="41"/>
      <x:c r="H22" s="41"/>
      <x:c r="I22" s="41"/>
      <x:c r="J22" s="41"/>
    </x:row>
    <x:row r="23" ht="44" customHeight="1">
      <x:c r="A23" s="41"/>
      <x:c r="B23" s="41"/>
      <x:c r="C23" s="41"/>
      <x:c r="D23" s="55"/>
      <x:c r="E23" s="41"/>
      <x:c r="F23" s="41"/>
      <x:c r="G23" s="41"/>
      <x:c r="H23" s="41"/>
      <x:c r="I23" s="41"/>
      <x:c r="J23" s="41"/>
    </x:row>
    <x:row r="24" ht="44" customHeight="1">
      <x:c r="A24" s="41"/>
      <x:c r="B24" s="41"/>
      <x:c r="C24" s="41"/>
      <x:c r="D24" s="55"/>
      <x:c r="E24" s="41"/>
      <x:c r="F24" s="41"/>
      <x:c r="G24" s="41"/>
      <x:c r="H24" s="41"/>
      <x:c r="I24" s="41"/>
      <x:c r="J24" s="41"/>
    </x:row>
    <x:row r="25" ht="44" customHeight="1">
      <x:c r="A25" s="41"/>
      <x:c r="B25" s="41"/>
      <x:c r="C25" s="41"/>
      <x:c r="D25" s="55"/>
      <x:c r="E25" s="41"/>
      <x:c r="F25" s="41"/>
      <x:c r="G25" s="41"/>
      <x:c r="H25" s="41"/>
      <x:c r="I25" s="41"/>
      <x:c r="J25" s="41"/>
    </x:row>
    <x:row r="26" ht="44" customHeight="1">
      <x:c r="A26" s="41"/>
      <x:c r="B26" s="41"/>
      <x:c r="C26" s="41"/>
      <x:c r="D26" s="55"/>
      <x:c r="E26" s="41"/>
      <x:c r="F26" s="41"/>
      <x:c r="G26" s="41"/>
      <x:c r="H26" s="41"/>
      <x:c r="I26" s="41"/>
      <x:c r="J26" s="41"/>
    </x:row>
    <x:row r="27" ht="44" customHeight="1">
      <x:c r="A27" s="41"/>
      <x:c r="B27" s="41"/>
      <x:c r="C27" s="41"/>
      <x:c r="D27" s="55"/>
      <x:c r="E27" s="41"/>
      <x:c r="F27" s="41"/>
      <x:c r="G27" s="41"/>
      <x:c r="H27" s="41"/>
      <x:c r="I27" s="41"/>
      <x:c r="J27" s="41"/>
    </x:row>
    <x:row r="28" ht="44" customHeight="1">
      <x:c r="A28" s="41"/>
      <x:c r="B28" s="41"/>
      <x:c r="C28" s="41"/>
      <x:c r="D28" s="55"/>
      <x:c r="E28" s="41"/>
      <x:c r="F28" s="41"/>
      <x:c r="G28" s="41"/>
      <x:c r="H28" s="41"/>
      <x:c r="I28" s="41"/>
      <x:c r="J28" s="41"/>
    </x:row>
    <x:row r="29" ht="44" customHeight="1">
      <x:c r="A29" s="41"/>
      <x:c r="B29" s="41"/>
      <x:c r="C29" s="41"/>
      <x:c r="D29" s="55"/>
      <x:c r="E29" s="41"/>
      <x:c r="F29" s="41"/>
      <x:c r="G29" s="41"/>
      <x:c r="H29" s="41"/>
      <x:c r="I29" s="41"/>
      <x:c r="J29" s="41"/>
    </x:row>
    <x:row r="30" ht="44" customHeight="1">
      <x:c r="A30" s="41"/>
      <x:c r="B30" s="41"/>
      <x:c r="C30" s="41"/>
      <x:c r="D30" s="55"/>
      <x:c r="E30" s="41"/>
      <x:c r="F30" s="41"/>
      <x:c r="G30" s="41"/>
      <x:c r="H30" s="41"/>
      <x:c r="I30" s="41"/>
      <x:c r="J30" s="41"/>
    </x:row>
    <x:row r="31" ht="44" customHeight="1">
      <x:c r="A31" s="41"/>
      <x:c r="B31" s="41"/>
      <x:c r="C31" s="41"/>
      <x:c r="D31" s="55"/>
      <x:c r="E31" s="41"/>
      <x:c r="F31" s="41"/>
      <x:c r="G31" s="41"/>
      <x:c r="H31" s="41"/>
      <x:c r="I31" s="41"/>
      <x:c r="J31" s="41"/>
    </x:row>
    <x:row r="32" ht="44" customHeight="1">
      <x:c r="A32" s="41"/>
      <x:c r="B32" s="41"/>
      <x:c r="C32" s="41"/>
      <x:c r="D32" s="55"/>
      <x:c r="E32" s="41"/>
      <x:c r="F32" s="41"/>
      <x:c r="G32" s="41"/>
      <x:c r="H32" s="41"/>
      <x:c r="I32" s="41"/>
      <x:c r="J32" s="41"/>
    </x:row>
    <x:row r="33" ht="44" customHeight="1">
      <x:c r="A33" s="41"/>
      <x:c r="B33" s="41"/>
      <x:c r="C33" s="41"/>
      <x:c r="D33" s="55"/>
      <x:c r="E33" s="41"/>
      <x:c r="F33" s="41"/>
      <x:c r="G33" s="41"/>
      <x:c r="H33" s="41"/>
      <x:c r="I33" s="41"/>
      <x:c r="J33" s="41"/>
    </x:row>
    <x:row r="34" ht="44" customHeight="1">
      <x:c r="A34" s="41"/>
      <x:c r="B34" s="41"/>
      <x:c r="C34" s="41"/>
      <x:c r="D34" s="55"/>
      <x:c r="E34" s="41"/>
      <x:c r="F34" s="41"/>
      <x:c r="G34" s="41"/>
      <x:c r="H34" s="41"/>
      <x:c r="I34" s="41"/>
      <x:c r="J34" s="41"/>
    </x:row>
    <x:row r="35" ht="44" customHeight="1">
      <x:c r="A35" s="41"/>
      <x:c r="B35" s="41"/>
      <x:c r="C35" s="41"/>
      <x:c r="D35" s="55"/>
      <x:c r="E35" s="41"/>
      <x:c r="F35" s="41"/>
      <x:c r="G35" s="41"/>
      <x:c r="H35" s="41"/>
      <x:c r="I35" s="41"/>
      <x:c r="J35" s="41"/>
    </x:row>
    <x:row r="36" ht="44" customHeight="1">
      <x:c r="A36" s="41"/>
      <x:c r="B36" s="41"/>
      <x:c r="C36" s="41"/>
      <x:c r="D36" s="55"/>
      <x:c r="E36" s="41"/>
      <x:c r="F36" s="41"/>
      <x:c r="G36" s="41"/>
      <x:c r="H36" s="41"/>
      <x:c r="I36" s="41"/>
      <x:c r="J36" s="41"/>
    </x:row>
    <x:row r="37" ht="44" customHeight="1">
      <x:c r="A37" s="41"/>
      <x:c r="B37" s="41"/>
      <x:c r="C37" s="41"/>
      <x:c r="D37" s="55"/>
      <x:c r="E37" s="41"/>
      <x:c r="F37" s="41"/>
      <x:c r="G37" s="41"/>
      <x:c r="H37" s="41"/>
      <x:c r="I37" s="41"/>
      <x:c r="J37" s="41"/>
    </x:row>
    <x:row r="38" ht="44" customHeight="1">
      <x:c r="A38" s="41"/>
      <x:c r="B38" s="41"/>
      <x:c r="C38" s="41"/>
      <x:c r="D38" s="55"/>
      <x:c r="E38" s="41"/>
      <x:c r="F38" s="41"/>
      <x:c r="G38" s="41"/>
      <x:c r="H38" s="41"/>
      <x:c r="I38" s="41"/>
      <x:c r="J38" s="41"/>
    </x:row>
    <x:row r="39" ht="44" customHeight="1">
      <x:c r="A39" s="41"/>
      <x:c r="B39" s="41"/>
      <x:c r="C39" s="41"/>
      <x:c r="D39" s="55"/>
      <x:c r="E39" s="41"/>
      <x:c r="F39" s="41"/>
      <x:c r="G39" s="41"/>
      <x:c r="H39" s="41"/>
      <x:c r="I39" s="41"/>
      <x:c r="J39" s="41"/>
    </x:row>
    <x:row r="40" ht="44" customHeight="1">
      <x:c r="A40" s="41"/>
      <x:c r="B40" s="41"/>
      <x:c r="C40" s="41"/>
      <x:c r="D40" s="55"/>
      <x:c r="E40" s="41"/>
      <x:c r="F40" s="41"/>
      <x:c r="G40" s="41"/>
      <x:c r="H40" s="41"/>
      <x:c r="I40" s="41"/>
      <x:c r="J40" s="41"/>
    </x:row>
    <x:row r="41" ht="44" customHeight="1">
      <x:c r="A41" s="41"/>
      <x:c r="B41" s="41"/>
      <x:c r="C41" s="41"/>
      <x:c r="D41" s="55"/>
      <x:c r="E41" s="41"/>
      <x:c r="F41" s="41"/>
      <x:c r="G41" s="41"/>
      <x:c r="H41" s="41"/>
      <x:c r="I41" s="41"/>
      <x:c r="J41" s="41"/>
    </x:row>
    <x:row r="42" ht="44" customHeight="1">
      <x:c r="A42" s="41"/>
      <x:c r="B42" s="41"/>
      <x:c r="C42" s="41"/>
      <x:c r="D42" s="55"/>
      <x:c r="E42" s="41"/>
      <x:c r="F42" s="41"/>
      <x:c r="G42" s="41"/>
      <x:c r="H42" s="41"/>
      <x:c r="I42" s="41"/>
      <x:c r="J42" s="41"/>
    </x:row>
    <x:row r="43" ht="44" customHeight="1">
      <x:c r="A43" s="41"/>
      <x:c r="B43" s="41"/>
      <x:c r="C43" s="41"/>
      <x:c r="D43" s="55"/>
      <x:c r="E43" s="41"/>
      <x:c r="F43" s="41"/>
      <x:c r="G43" s="41"/>
      <x:c r="H43" s="41"/>
      <x:c r="I43" s="41"/>
      <x:c r="J43" s="41"/>
    </x:row>
    <x:row r="44" ht="44" customHeight="1">
      <x:c r="A44" s="41"/>
      <x:c r="B44" s="41"/>
      <x:c r="C44" s="41"/>
      <x:c r="D44" s="55"/>
      <x:c r="E44" s="41"/>
      <x:c r="F44" s="41"/>
      <x:c r="G44" s="41"/>
      <x:c r="H44" s="41"/>
      <x:c r="I44" s="41"/>
      <x:c r="J44" s="41"/>
    </x:row>
    <x:row r="45" ht="44" customHeight="1">
      <x:c r="A45" s="41"/>
      <x:c r="B45" s="41"/>
      <x:c r="C45" s="41"/>
      <x:c r="D45" s="55"/>
      <x:c r="E45" s="41"/>
      <x:c r="F45" s="41"/>
      <x:c r="G45" s="41"/>
      <x:c r="H45" s="41"/>
      <x:c r="I45" s="41"/>
      <x:c r="J45" s="41"/>
    </x:row>
    <x:row r="46" ht="44" customHeight="1">
      <x:c r="A46" s="41"/>
      <x:c r="B46" s="41"/>
      <x:c r="C46" s="41"/>
      <x:c r="D46" s="55"/>
      <x:c r="E46" s="41"/>
      <x:c r="F46" s="41"/>
      <x:c r="G46" s="41"/>
      <x:c r="H46" s="41"/>
      <x:c r="I46" s="41"/>
      <x:c r="J46" s="41"/>
    </x:row>
    <x:row r="47" ht="44" customHeight="1">
      <x:c r="A47" s="41"/>
      <x:c r="B47" s="41"/>
      <x:c r="C47" s="41"/>
      <x:c r="D47" s="55"/>
      <x:c r="E47" s="41"/>
      <x:c r="F47" s="41"/>
      <x:c r="G47" s="41"/>
      <x:c r="H47" s="41"/>
      <x:c r="I47" s="41"/>
      <x:c r="J47" s="41"/>
    </x:row>
    <x:row r="48" ht="44" customHeight="1">
      <x:c r="A48" s="41"/>
      <x:c r="B48" s="41"/>
      <x:c r="C48" s="41"/>
      <x:c r="D48" s="55"/>
      <x:c r="E48" s="41"/>
      <x:c r="F48" s="41"/>
      <x:c r="G48" s="41"/>
      <x:c r="H48" s="41"/>
      <x:c r="I48" s="41"/>
      <x:c r="J48" s="41"/>
    </x:row>
    <x:row r="49" ht="44" customHeight="1">
      <x:c r="A49" s="41"/>
      <x:c r="B49" s="41"/>
      <x:c r="C49" s="41"/>
      <x:c r="D49" s="55"/>
      <x:c r="E49" s="41"/>
      <x:c r="F49" s="41"/>
      <x:c r="G49" s="41"/>
      <x:c r="H49" s="41"/>
      <x:c r="I49" s="41"/>
      <x:c r="J49" s="41"/>
    </x:row>
    <x:row r="50" ht="44" customHeight="1">
      <x:c r="A50" s="41"/>
      <x:c r="B50" s="41"/>
      <x:c r="C50" s="41"/>
      <x:c r="D50" s="55"/>
      <x:c r="E50" s="41"/>
      <x:c r="F50" s="41"/>
      <x:c r="G50" s="41"/>
      <x:c r="H50" s="41"/>
      <x:c r="I50" s="41"/>
      <x:c r="J50" s="41"/>
    </x:row>
    <x:row r="51" ht="44" customHeight="1">
      <x:c r="A51" s="41"/>
      <x:c r="B51" s="41"/>
      <x:c r="C51" s="41"/>
      <x:c r="D51" s="55"/>
      <x:c r="E51" s="41"/>
      <x:c r="F51" s="41"/>
      <x:c r="G51" s="41"/>
      <x:c r="H51" s="41"/>
      <x:c r="I51" s="41"/>
      <x:c r="J51" s="41"/>
    </x:row>
    <x:row r="52" ht="44" customHeight="1">
      <x:c r="A52" s="41"/>
      <x:c r="B52" s="41"/>
      <x:c r="C52" s="41"/>
      <x:c r="D52" s="55"/>
      <x:c r="E52" s="41"/>
      <x:c r="F52" s="41"/>
      <x:c r="G52" s="41"/>
      <x:c r="H52" s="41"/>
      <x:c r="I52" s="41"/>
      <x:c r="J52" s="41"/>
    </x:row>
    <x:row r="53" ht="44" customHeight="1">
      <x:c r="A53" s="41"/>
      <x:c r="B53" s="41"/>
      <x:c r="C53" s="41"/>
      <x:c r="D53" s="55"/>
      <x:c r="E53" s="41"/>
      <x:c r="F53" s="41"/>
      <x:c r="G53" s="41"/>
      <x:c r="H53" s="41"/>
      <x:c r="I53" s="41"/>
      <x:c r="J53" s="41"/>
    </x:row>
    <x:row r="54" ht="44" customHeight="1">
      <x:c r="A54" s="41"/>
      <x:c r="B54" s="41"/>
      <x:c r="C54" s="41"/>
      <x:c r="D54" s="55"/>
      <x:c r="E54" s="41"/>
      <x:c r="F54" s="41"/>
      <x:c r="G54" s="41"/>
      <x:c r="H54" s="41"/>
      <x:c r="I54" s="41"/>
      <x:c r="J54" s="41"/>
    </x:row>
    <x:row r="55" ht="44" customHeight="1">
      <x:c r="A55" s="41"/>
      <x:c r="B55" s="41"/>
      <x:c r="C55" s="41"/>
      <x:c r="D55" s="55"/>
      <x:c r="E55" s="41"/>
      <x:c r="F55" s="41"/>
      <x:c r="G55" s="41"/>
      <x:c r="H55" s="41"/>
      <x:c r="I55" s="41"/>
      <x:c r="J55" s="41"/>
    </x:row>
    <x:row r="56" ht="44" customHeight="1">
      <x:c r="A56" s="41"/>
      <x:c r="B56" s="41"/>
      <x:c r="C56" s="41"/>
      <x:c r="D56" s="55"/>
      <x:c r="E56" s="41"/>
      <x:c r="F56" s="41"/>
      <x:c r="G56" s="41"/>
      <x:c r="H56" s="41"/>
      <x:c r="I56" s="41"/>
      <x:c r="J56" s="41"/>
    </x:row>
    <x:row r="57" ht="44" customHeight="1">
      <x:c r="A57" s="41"/>
      <x:c r="B57" s="41"/>
      <x:c r="C57" s="41"/>
      <x:c r="D57" s="55"/>
      <x:c r="E57" s="41"/>
      <x:c r="F57" s="41"/>
      <x:c r="G57" s="41"/>
      <x:c r="H57" s="41"/>
      <x:c r="I57" s="41"/>
      <x:c r="J57" s="41"/>
    </x:row>
    <x:row r="58" ht="44" customHeight="1">
      <x:c r="A58" s="41"/>
      <x:c r="B58" s="41"/>
      <x:c r="C58" s="41"/>
      <x:c r="D58" s="55"/>
      <x:c r="E58" s="41"/>
      <x:c r="F58" s="41"/>
      <x:c r="G58" s="41"/>
      <x:c r="H58" s="41"/>
      <x:c r="I58" s="41"/>
      <x:c r="J58" s="41"/>
    </x:row>
    <x:row r="59" ht="44" customHeight="1">
      <x:c r="A59" s="41"/>
      <x:c r="B59" s="41"/>
      <x:c r="C59" s="41"/>
      <x:c r="D59" s="55"/>
      <x:c r="E59" s="41"/>
      <x:c r="F59" s="41"/>
      <x:c r="G59" s="41"/>
      <x:c r="H59" s="41"/>
      <x:c r="I59" s="41"/>
      <x:c r="J59" s="41"/>
    </x:row>
    <x:row r="60" ht="44" customHeight="1">
      <x:c r="A60" s="41"/>
      <x:c r="B60" s="41"/>
      <x:c r="C60" s="41"/>
      <x:c r="D60" s="55"/>
      <x:c r="E60" s="41"/>
      <x:c r="F60" s="41"/>
      <x:c r="G60" s="41"/>
      <x:c r="H60" s="41"/>
      <x:c r="I60" s="41"/>
      <x:c r="J60" s="41"/>
    </x:row>
    <x:row r="61" ht="44" customHeight="1">
      <x:c r="A61" s="41"/>
      <x:c r="B61" s="41"/>
      <x:c r="C61" s="41"/>
      <x:c r="D61" s="55"/>
      <x:c r="E61" s="41"/>
      <x:c r="F61" s="41"/>
      <x:c r="G61" s="41"/>
      <x:c r="H61" s="41"/>
      <x:c r="I61" s="41"/>
      <x:c r="J61" s="41"/>
    </x:row>
    <x:row r="62" ht="44" customHeight="1">
      <x:c r="A62" s="41"/>
      <x:c r="B62" s="41"/>
      <x:c r="C62" s="41"/>
      <x:c r="D62" s="55"/>
      <x:c r="E62" s="41"/>
      <x:c r="F62" s="41"/>
      <x:c r="G62" s="41"/>
      <x:c r="H62" s="41"/>
      <x:c r="I62" s="41"/>
      <x:c r="J62" s="41"/>
    </x:row>
    <x:row r="63" ht="44" customHeight="1">
      <x:c r="A63" s="41"/>
      <x:c r="B63" s="41"/>
      <x:c r="C63" s="41"/>
      <x:c r="D63" s="55"/>
      <x:c r="E63" s="41"/>
      <x:c r="F63" s="41"/>
      <x:c r="G63" s="41"/>
      <x:c r="H63" s="41"/>
      <x:c r="I63" s="41"/>
      <x:c r="J63" s="41"/>
    </x:row>
    <x:row r="64" ht="44" customHeight="1">
      <x:c r="A64" s="41"/>
      <x:c r="B64" s="41"/>
      <x:c r="C64" s="41"/>
      <x:c r="D64" s="55"/>
      <x:c r="E64" s="41"/>
      <x:c r="F64" s="41"/>
      <x:c r="G64" s="41"/>
      <x:c r="H64" s="41"/>
      <x:c r="I64" s="41"/>
      <x:c r="J64" s="41"/>
    </x:row>
    <x:row r="65" ht="44" customHeight="1">
      <x:c r="A65" s="41"/>
      <x:c r="B65" s="41"/>
      <x:c r="C65" s="41"/>
      <x:c r="D65" s="55"/>
      <x:c r="E65" s="41"/>
      <x:c r="F65" s="41"/>
      <x:c r="G65" s="41"/>
      <x:c r="H65" s="41"/>
      <x:c r="I65" s="41"/>
      <x:c r="J65" s="41"/>
    </x:row>
    <x:row r="66" ht="44" customHeight="1">
      <x:c r="A66" s="41"/>
      <x:c r="B66" s="41"/>
      <x:c r="C66" s="41"/>
      <x:c r="D66" s="55"/>
      <x:c r="E66" s="41"/>
      <x:c r="F66" s="41"/>
      <x:c r="G66" s="41"/>
      <x:c r="H66" s="41"/>
      <x:c r="I66" s="41"/>
      <x:c r="J66" s="41"/>
    </x:row>
    <x:row r="67" ht="44" customHeight="1">
      <x:c r="A67" s="41"/>
      <x:c r="B67" s="41"/>
      <x:c r="C67" s="41"/>
      <x:c r="D67" s="55"/>
      <x:c r="E67" s="41"/>
      <x:c r="F67" s="41"/>
      <x:c r="G67" s="41"/>
      <x:c r="H67" s="41"/>
      <x:c r="I67" s="41"/>
      <x:c r="J67" s="41"/>
    </x:row>
    <x:row r="68" ht="44" customHeight="1">
      <x:c r="A68" s="41"/>
      <x:c r="B68" s="41"/>
      <x:c r="C68" s="41"/>
      <x:c r="D68" s="55"/>
      <x:c r="E68" s="41"/>
      <x:c r="F68" s="41"/>
      <x:c r="G68" s="41"/>
      <x:c r="H68" s="41"/>
      <x:c r="I68" s="41"/>
      <x:c r="J68" s="41"/>
    </x:row>
    <x:row r="69" ht="44" customHeight="1">
      <x:c r="A69" s="41"/>
      <x:c r="B69" s="41"/>
      <x:c r="C69" s="41"/>
      <x:c r="D69" s="55"/>
      <x:c r="E69" s="41"/>
      <x:c r="F69" s="41"/>
      <x:c r="G69" s="41"/>
      <x:c r="H69" s="41"/>
      <x:c r="I69" s="41"/>
      <x:c r="J69" s="41"/>
    </x:row>
    <x:row r="70" ht="44" customHeight="1">
      <x:c r="A70" s="41"/>
      <x:c r="B70" s="41"/>
      <x:c r="C70" s="41"/>
      <x:c r="D70" s="55"/>
      <x:c r="E70" s="41"/>
      <x:c r="F70" s="41"/>
      <x:c r="G70" s="41"/>
      <x:c r="H70" s="41"/>
      <x:c r="I70" s="41"/>
      <x:c r="J70" s="41"/>
    </x:row>
    <x:row r="71" ht="44" customHeight="1">
      <x:c r="A71" s="41"/>
      <x:c r="B71" s="41"/>
      <x:c r="C71" s="41"/>
      <x:c r="D71" s="55"/>
      <x:c r="E71" s="41"/>
      <x:c r="F71" s="41"/>
      <x:c r="G71" s="41"/>
      <x:c r="H71" s="41"/>
      <x:c r="I71" s="41"/>
      <x:c r="J71" s="41"/>
    </x:row>
    <x:row r="72" ht="44" customHeight="1">
      <x:c r="A72" s="41"/>
      <x:c r="B72" s="41"/>
      <x:c r="C72" s="41"/>
      <x:c r="D72" s="55"/>
      <x:c r="E72" s="41"/>
      <x:c r="F72" s="41"/>
      <x:c r="G72" s="41"/>
      <x:c r="H72" s="41"/>
      <x:c r="I72" s="41"/>
      <x:c r="J72" s="41"/>
    </x:row>
    <x:row r="73" ht="44" customHeight="1">
      <x:c r="A73" s="41"/>
      <x:c r="B73" s="41"/>
      <x:c r="C73" s="41"/>
      <x:c r="D73" s="55"/>
      <x:c r="E73" s="41"/>
      <x:c r="F73" s="41"/>
      <x:c r="G73" s="41"/>
      <x:c r="H73" s="41"/>
      <x:c r="I73" s="41"/>
      <x:c r="J73" s="41"/>
    </x:row>
    <x:row r="74" ht="44" customHeight="1">
      <x:c r="A74" s="41"/>
      <x:c r="B74" s="41"/>
      <x:c r="C74" s="41"/>
      <x:c r="D74" s="55"/>
      <x:c r="E74" s="41"/>
      <x:c r="F74" s="41"/>
      <x:c r="G74" s="41"/>
      <x:c r="H74" s="41"/>
      <x:c r="I74" s="41"/>
      <x:c r="J74" s="41"/>
    </x:row>
    <x:row r="75" ht="44" customHeight="1">
      <x:c r="A75" s="41"/>
      <x:c r="B75" s="41"/>
      <x:c r="C75" s="41"/>
      <x:c r="D75" s="55"/>
      <x:c r="E75" s="41"/>
      <x:c r="F75" s="41"/>
      <x:c r="G75" s="41"/>
      <x:c r="H75" s="41"/>
      <x:c r="I75" s="41"/>
      <x:c r="J75" s="41"/>
    </x:row>
    <x:row r="76" ht="44" customHeight="1">
      <x:c r="A76" s="41"/>
      <x:c r="B76" s="41"/>
      <x:c r="C76" s="41"/>
      <x:c r="D76" s="55"/>
      <x:c r="E76" s="41"/>
      <x:c r="F76" s="41"/>
      <x:c r="G76" s="41"/>
      <x:c r="H76" s="41"/>
      <x:c r="I76" s="41"/>
      <x:c r="J76" s="41"/>
    </x:row>
    <x:row r="77" ht="44" customHeight="1">
      <x:c r="A77" s="41"/>
      <x:c r="B77" s="41"/>
      <x:c r="C77" s="41"/>
      <x:c r="D77" s="55"/>
      <x:c r="E77" s="41"/>
      <x:c r="F77" s="41"/>
      <x:c r="G77" s="41"/>
      <x:c r="H77" s="41"/>
      <x:c r="I77" s="41"/>
      <x:c r="J77" s="41"/>
    </x:row>
    <x:row r="78" ht="44" customHeight="1">
      <x:c r="A78" s="41"/>
      <x:c r="B78" s="41"/>
      <x:c r="C78" s="41"/>
      <x:c r="D78" s="55"/>
      <x:c r="E78" s="41"/>
      <x:c r="F78" s="41"/>
      <x:c r="G78" s="41"/>
      <x:c r="H78" s="41"/>
      <x:c r="I78" s="41"/>
      <x:c r="J78" s="41"/>
    </x:row>
    <x:row r="79" ht="44" customHeight="1">
      <x:c r="A79" s="41"/>
      <x:c r="B79" s="41"/>
      <x:c r="C79" s="41"/>
      <x:c r="D79" s="55"/>
      <x:c r="E79" s="41"/>
      <x:c r="F79" s="41"/>
      <x:c r="G79" s="41"/>
      <x:c r="H79" s="41"/>
      <x:c r="I79" s="41"/>
      <x:c r="J79" s="41"/>
    </x:row>
    <x:row r="80" ht="44" customHeight="1">
      <x:c r="A80" s="41"/>
      <x:c r="B80" s="41"/>
      <x:c r="C80" s="41"/>
      <x:c r="D80" s="55"/>
      <x:c r="E80" s="41"/>
      <x:c r="F80" s="41"/>
      <x:c r="G80" s="41"/>
      <x:c r="H80" s="41"/>
      <x:c r="I80" s="41"/>
      <x:c r="J80" s="41"/>
    </x:row>
    <x:row r="81" ht="44" customHeight="1">
      <x:c r="A81" s="41"/>
      <x:c r="B81" s="41"/>
      <x:c r="C81" s="41"/>
      <x:c r="D81" s="55"/>
      <x:c r="E81" s="41"/>
      <x:c r="F81" s="41"/>
      <x:c r="G81" s="41"/>
      <x:c r="H81" s="41"/>
      <x:c r="I81" s="41"/>
      <x:c r="J81" s="41"/>
    </x:row>
    <x:row r="82" ht="44" customHeight="1">
      <x:c r="A82" s="41"/>
      <x:c r="B82" s="41"/>
      <x:c r="C82" s="41"/>
      <x:c r="D82" s="55"/>
      <x:c r="E82" s="41"/>
      <x:c r="F82" s="41"/>
      <x:c r="G82" s="41"/>
      <x:c r="H82" s="41"/>
      <x:c r="I82" s="41"/>
      <x:c r="J82" s="41"/>
    </x:row>
    <x:row r="83" ht="44" customHeight="1">
      <x:c r="A83" s="41"/>
      <x:c r="B83" s="41"/>
      <x:c r="C83" s="41"/>
      <x:c r="D83" s="55"/>
      <x:c r="E83" s="41"/>
      <x:c r="F83" s="41"/>
      <x:c r="G83" s="41"/>
      <x:c r="H83" s="41"/>
      <x:c r="I83" s="41"/>
      <x:c r="J83" s="41"/>
    </x:row>
    <x:row r="84" ht="44" customHeight="1">
      <x:c r="A84" s="41"/>
      <x:c r="B84" s="41"/>
      <x:c r="C84" s="41"/>
      <x:c r="D84" s="55"/>
      <x:c r="E84" s="41"/>
      <x:c r="F84" s="41"/>
      <x:c r="G84" s="41"/>
      <x:c r="H84" s="41"/>
      <x:c r="I84" s="41"/>
      <x:c r="J84" s="41"/>
    </x:row>
    <x:row r="85" ht="44" customHeight="1">
      <x:c r="A85" s="41"/>
      <x:c r="B85" s="41"/>
      <x:c r="C85" s="41"/>
      <x:c r="D85" s="55"/>
      <x:c r="E85" s="41"/>
      <x:c r="F85" s="41"/>
      <x:c r="G85" s="41"/>
      <x:c r="H85" s="41"/>
      <x:c r="I85" s="41"/>
      <x:c r="J85" s="41"/>
    </x:row>
    <x:row r="86" ht="44" customHeight="1">
      <x:c r="A86" s="41"/>
      <x:c r="B86" s="41"/>
      <x:c r="C86" s="41"/>
      <x:c r="D86" s="55"/>
      <x:c r="E86" s="41"/>
      <x:c r="F86" s="41"/>
      <x:c r="G86" s="41"/>
      <x:c r="H86" s="41"/>
      <x:c r="I86" s="41"/>
      <x:c r="J86" s="41"/>
    </x:row>
    <x:row r="87" ht="44" customHeight="1">
      <x:c r="A87" s="41"/>
      <x:c r="B87" s="41"/>
      <x:c r="C87" s="41"/>
      <x:c r="D87" s="55"/>
      <x:c r="E87" s="41"/>
      <x:c r="F87" s="41"/>
      <x:c r="G87" s="41"/>
      <x:c r="H87" s="41"/>
      <x:c r="I87" s="41"/>
      <x:c r="J87" s="41"/>
    </x:row>
    <x:row r="88" ht="44" customHeight="1">
      <x:c r="A88" s="41"/>
      <x:c r="B88" s="41"/>
      <x:c r="C88" s="41"/>
      <x:c r="D88" s="55"/>
      <x:c r="E88" s="41"/>
      <x:c r="F88" s="41"/>
      <x:c r="G88" s="41"/>
      <x:c r="H88" s="41"/>
      <x:c r="I88" s="41"/>
      <x:c r="J88" s="41"/>
    </x:row>
    <x:row r="89" ht="44" customHeight="1">
      <x:c r="A89" s="41"/>
      <x:c r="B89" s="41"/>
      <x:c r="C89" s="41"/>
      <x:c r="D89" s="55"/>
      <x:c r="E89" s="41"/>
      <x:c r="F89" s="41"/>
      <x:c r="G89" s="41"/>
      <x:c r="H89" s="41"/>
      <x:c r="I89" s="41"/>
      <x:c r="J89" s="41"/>
    </x:row>
    <x:row r="90" ht="44" customHeight="1">
      <x:c r="A90" s="41"/>
      <x:c r="B90" s="41"/>
      <x:c r="C90" s="41"/>
      <x:c r="D90" s="55"/>
      <x:c r="E90" s="41"/>
      <x:c r="F90" s="41"/>
      <x:c r="G90" s="41"/>
      <x:c r="H90" s="41"/>
      <x:c r="I90" s="41"/>
      <x:c r="J90" s="41"/>
    </x:row>
    <x:row r="91" ht="44" customHeight="1">
      <x:c r="A91" s="41"/>
      <x:c r="B91" s="41"/>
      <x:c r="C91" s="41"/>
      <x:c r="D91" s="55"/>
      <x:c r="E91" s="41"/>
      <x:c r="F91" s="41"/>
      <x:c r="G91" s="41"/>
      <x:c r="H91" s="41"/>
      <x:c r="I91" s="41"/>
      <x:c r="J91" s="41"/>
    </x:row>
    <x:row r="92" ht="44" customHeight="1">
      <x:c r="A92" s="41"/>
      <x:c r="B92" s="41"/>
      <x:c r="C92" s="41"/>
      <x:c r="D92" s="55"/>
      <x:c r="E92" s="41"/>
      <x:c r="F92" s="41"/>
      <x:c r="G92" s="41"/>
      <x:c r="H92" s="41"/>
      <x:c r="I92" s="41"/>
      <x:c r="J92" s="41"/>
    </x:row>
    <x:row r="93" ht="44" customHeight="1">
      <x:c r="A93" s="41"/>
      <x:c r="B93" s="41"/>
      <x:c r="C93" s="41"/>
      <x:c r="D93" s="55"/>
      <x:c r="E93" s="41"/>
      <x:c r="F93" s="41"/>
      <x:c r="G93" s="41"/>
      <x:c r="H93" s="41"/>
      <x:c r="I93" s="41"/>
      <x:c r="J93" s="41"/>
    </x:row>
    <x:row r="94" ht="44" customHeight="1">
      <x:c r="A94" s="41"/>
      <x:c r="B94" s="41"/>
      <x:c r="C94" s="41"/>
      <x:c r="D94" s="55"/>
      <x:c r="E94" s="41"/>
      <x:c r="F94" s="41"/>
      <x:c r="G94" s="41"/>
      <x:c r="H94" s="41"/>
      <x:c r="I94" s="41"/>
      <x:c r="J94" s="41"/>
    </x:row>
    <x:row r="95" ht="44" customHeight="1">
      <x:c r="A95" s="41"/>
      <x:c r="B95" s="41"/>
      <x:c r="C95" s="41"/>
      <x:c r="D95" s="55"/>
      <x:c r="E95" s="41"/>
      <x:c r="F95" s="41"/>
      <x:c r="G95" s="41"/>
      <x:c r="H95" s="41"/>
      <x:c r="I95" s="41"/>
      <x:c r="J95" s="41"/>
    </x:row>
    <x:row r="96" ht="44" customHeight="1">
      <x:c r="A96" s="41"/>
      <x:c r="B96" s="41"/>
      <x:c r="C96" s="41"/>
      <x:c r="D96" s="55"/>
      <x:c r="E96" s="41"/>
      <x:c r="F96" s="41"/>
      <x:c r="G96" s="41"/>
      <x:c r="H96" s="41"/>
      <x:c r="I96" s="41"/>
      <x:c r="J96" s="41"/>
    </x:row>
    <x:row r="97" ht="44" customHeight="1">
      <x:c r="A97" s="41"/>
      <x:c r="B97" s="41"/>
      <x:c r="C97" s="41"/>
      <x:c r="D97" s="55"/>
      <x:c r="E97" s="41"/>
      <x:c r="F97" s="41"/>
      <x:c r="G97" s="41"/>
      <x:c r="H97" s="41"/>
      <x:c r="I97" s="41"/>
      <x:c r="J97" s="41"/>
    </x:row>
    <x:row r="98" ht="44" customHeight="1">
      <x:c r="A98" s="41"/>
      <x:c r="B98" s="41"/>
      <x:c r="C98" s="41"/>
      <x:c r="D98" s="55"/>
      <x:c r="E98" s="41"/>
      <x:c r="F98" s="41"/>
      <x:c r="G98" s="41"/>
      <x:c r="H98" s="41"/>
      <x:c r="I98" s="41"/>
      <x:c r="J98" s="41"/>
    </x:row>
    <x:row r="99" ht="44" customHeight="1">
      <x:c r="A99" s="41"/>
      <x:c r="B99" s="41"/>
      <x:c r="C99" s="41"/>
      <x:c r="D99" s="55"/>
      <x:c r="E99" s="41"/>
      <x:c r="F99" s="41"/>
      <x:c r="G99" s="41"/>
      <x:c r="H99" s="41"/>
      <x:c r="I99" s="41"/>
      <x:c r="J99" s="41"/>
    </x:row>
    <x:row r="100" ht="44" customHeight="1">
      <x:c r="A100" s="41"/>
      <x:c r="B100" s="41"/>
      <x:c r="C100" s="41"/>
      <x:c r="D100" s="55"/>
      <x:c r="E100" s="41"/>
      <x:c r="F100" s="41"/>
      <x:c r="G100" s="41"/>
      <x:c r="H100" s="41"/>
      <x:c r="I100" s="41"/>
      <x:c r="J100" s="41"/>
    </x:row>
    <x:row r="101" ht="44" customHeight="1">
      <x:c r="A101" s="41"/>
      <x:c r="B101" s="41"/>
      <x:c r="C101" s="41"/>
      <x:c r="D101" s="55"/>
      <x:c r="E101" s="41"/>
      <x:c r="F101" s="41"/>
      <x:c r="G101" s="41"/>
      <x:c r="H101" s="41"/>
      <x:c r="I101" s="41"/>
      <x:c r="J101" s="41"/>
    </x:row>
    <x:row r="102" ht="44" customHeight="1">
      <x:c r="A102" s="41"/>
      <x:c r="B102" s="41"/>
      <x:c r="C102" s="41"/>
      <x:c r="D102" s="55"/>
      <x:c r="E102" s="41"/>
      <x:c r="F102" s="41"/>
      <x:c r="G102" s="41"/>
      <x:c r="H102" s="41"/>
      <x:c r="I102" s="41"/>
      <x:c r="J102" s="41"/>
    </x:row>
    <x:row r="103" ht="44" customHeight="1">
      <x:c r="A103" s="41"/>
      <x:c r="B103" s="41"/>
      <x:c r="C103" s="41"/>
      <x:c r="D103" s="55"/>
      <x:c r="E103" s="41"/>
      <x:c r="F103" s="41"/>
      <x:c r="G103" s="41"/>
      <x:c r="H103" s="41"/>
      <x:c r="I103" s="41"/>
      <x:c r="J103" s="41"/>
    </x:row>
    <x:row r="104" ht="44" customHeight="1">
      <x:c r="A104" s="41"/>
      <x:c r="B104" s="41"/>
      <x:c r="C104" s="41"/>
      <x:c r="D104" s="55"/>
      <x:c r="E104" s="41"/>
      <x:c r="F104" s="41"/>
      <x:c r="G104" s="41"/>
      <x:c r="H104" s="41"/>
      <x:c r="I104" s="41"/>
      <x:c r="J104" s="41"/>
    </x:row>
  </x:sheetData>
  <x:dataValidations count="4">
    <x:dataValidation type="list" sqref="B5:B104">
      <x:formula1>"Desktop,Mobile"</x:formula1>
    </x:dataValidation>
    <x:dataValidation type="list" sqref="C5:C104">
      <x:formula1>"W09,W10"</x:formula1>
    </x:dataValidation>
    <x:dataValidation type="list" sqref="H5:H104">
      <x:formula1>"None,P2,P1,P0"</x:formula1>
    </x:dataValidation>
    <x:dataValidation type="decimal" operator="between" sqref="D5:D104">
      <x:formula1>0</x:formula1>
      <x:formula2>120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F6B55"/>
  </x:sheetPr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70" hidden="0" customWidth="1"/>
  </x:cols>
  <x:sheetData>
    <x:row r="1" ht="22" customHeight="1">
      <x:c r="A1" s="1" t="str">
        <x:v>Pilot Summary</x:v>
      </x:c>
    </x:row>
    <x:row r="2" ht="22" customHeight="1">
      <x:c r="A2" s="2" t="str">
        <x:v>公式只協助檢查資料完整度與 usability gate；任何結論仍需回看原始 observation</x:v>
      </x:c>
    </x:row>
    <x:row r="3" ht="22" customHeight="1">
      <x:c r="A3" s="3"/>
      <x:c r="B3" s="3"/>
      <x:c r="C3" s="3"/>
    </x:row>
    <x:row r="4" ht="38" customHeight="1">
      <x:c r="A4" s="12" t="str">
        <x:v>Metric</x:v>
      </x:c>
      <x:c r="B4" s="25" t="str">
        <x:v>Result</x:v>
      </x:c>
      <x:c r="C4" s="13" t="str">
        <x:v>Rule or Interpretation</x:v>
      </x:c>
    </x:row>
    <x:row r="5" ht="15" hidden="0" customHeight="1">
      <x:c r="A5" s="20" t="str">
        <x:v>Included participants</x:v>
      </x:c>
      <x:c r="B5" s="56" t="n">
        <x:f>COUNTIF(Participants!$D$5:$D$9,"Yes")</x:f>
        <x:v>0</x:v>
      </x:c>
      <x:c r="C5" s="20" t="str">
        <x:v>Target 3–5</x:v>
      </x:c>
    </x:row>
    <x:row r="6" ht="15" hidden="0" customHeight="1">
      <x:c r="A6" s="21" t="str">
        <x:v>Included Desktop</x:v>
      </x:c>
      <x:c r="B6" s="57" t="n">
        <x:f>COUNTIFS(Participants!$B$5:$B$9,"Desktop",Participants!$D$5:$D$9,"Yes")</x:f>
        <x:v>0</x:v>
      </x:c>
      <x:c r="C6" s="21" t="str">
        <x:v>At least 1</x:v>
      </x:c>
    </x:row>
    <x:row r="7" ht="15" hidden="0" customHeight="1">
      <x:c r="A7" s="21" t="str">
        <x:v>Included Mobile</x:v>
      </x:c>
      <x:c r="B7" s="57" t="n">
        <x:f>COUNTIFS(Participants!$B$5:$B$9,"Mobile",Participants!$D$5:$D$9,"Yes")</x:f>
        <x:v>0</x:v>
      </x:c>
      <x:c r="C7" s="21" t="str">
        <x:v>At least 1</x:v>
      </x:c>
    </x:row>
    <x:row r="8" ht="15" hidden="0" customHeight="1">
      <x:c r="A8" s="21" t="str">
        <x:v>Recorded task rows</x:v>
      </x:c>
      <x:c r="B8" s="57" t="n">
        <x:f>COUNTA('Task Log'!$A$5:$A$104)</x:f>
        <x:v>0</x:v>
      </x:c>
      <x:c r="C8" s="21" t="str">
        <x:v>Two rows per included participant</x:v>
      </x:c>
    </x:row>
    <x:row r="9" ht="15" hidden="0" customHeight="1">
      <x:c r="A9" s="21" t="str">
        <x:v>Task completion rate</x:v>
      </x:c>
      <x:c r="B9" s="58" t="str">
        <x:f>IF(B5=0,"",COUNTIF('Task Log'!$L$5:$L$104,"Yes")/(B5*2))</x:f>
      </x:c>
      <x:c r="C9" s="21" t="str">
        <x:v>GO threshold at least 80%</x:v>
      </x:c>
    </x:row>
    <x:row r="10" ht="15" hidden="0" customHeight="1">
      <x:c r="A10" s="21" t="str">
        <x:v>Median first action s</x:v>
      </x:c>
      <x:c r="B10" s="59" t="str">
        <x:f>IF(COUNT('Task Log'!$I$5:$I$104)=0,"",MEDIAN('Task Log'!$I$5:$I$104))</x:f>
      </x:c>
      <x:c r="C10" s="21" t="str">
        <x:v>Lower is faster; no preset pass threshold</x:v>
      </x:c>
    </x:row>
    <x:row r="11" ht="15" hidden="0" customHeight="1">
      <x:c r="A11" s="21" t="str">
        <x:v>Median completion min</x:v>
      </x:c>
      <x:c r="B11" s="59" t="str">
        <x:f>IF(COUNT('Task Log'!$K$5:$K$104)=0,"",MEDIAN('Task Log'!$K$5:$K$104))</x:f>
      </x:c>
      <x:c r="C11" s="21" t="str">
        <x:v>Compare W09/W10 and devices; no preset pass threshold</x:v>
      </x:c>
    </x:row>
    <x:row r="12" ht="15" hidden="0" customHeight="1">
      <x:c r="A12" s="21" t="str">
        <x:v>Median attraction</x:v>
      </x:c>
      <x:c r="B12" s="59" t="str">
        <x:f>IF(COUNT('Task Log'!$R$5:$R$104)=0,"",MEDIAN('Task Log'!$R$5:$R$104))</x:f>
      </x:c>
      <x:c r="C12" s="21" t="str">
        <x:v>Below 4 triggers attraction design review</x:v>
      </x:c>
    </x:row>
    <x:row r="13" ht="15" hidden="0" customHeight="1">
      <x:c r="A13" s="21" t="str">
        <x:v>Median smoothness</x:v>
      </x:c>
      <x:c r="B13" s="59" t="str">
        <x:f>IF(COUNT('Task Log'!$S$5:$S$104)=0,"",MEDIAN('Task Log'!$S$5:$S$104))</x:f>
      </x:c>
      <x:c r="C13" s="21" t="str">
        <x:v>GO threshold at least 4</x:v>
      </x:c>
    </x:row>
    <x:row r="14" ht="15" hidden="0" customHeight="1">
      <x:c r="A14" s="21" t="str">
        <x:v>P0 count</x:v>
      </x:c>
      <x:c r="B14" s="57" t="n">
        <x:f>COUNTIF('Task Log'!$Q$5:$Q$104,"P0")</x:f>
        <x:v>0</x:v>
      </x:c>
      <x:c r="C14" s="21" t="str">
        <x:v>GO requires 0</x:v>
      </x:c>
    </x:row>
    <x:row r="15" ht="15" hidden="0" customHeight="1">
      <x:c r="A15" s="21" t="str">
        <x:v>P1 count</x:v>
      </x:c>
      <x:c r="B15" s="57" t="n">
        <x:f>COUNTIF('Task Log'!$Q$5:$Q$104,"P1")</x:f>
        <x:v>0</x:v>
      </x:c>
      <x:c r="C15" s="21" t="str">
        <x:v>GO requires 0</x:v>
      </x:c>
    </x:row>
    <x:row r="16" ht="15" hidden="0" customHeight="1">
      <x:c r="A16" s="21" t="str">
        <x:v>Data readiness</x:v>
      </x:c>
      <x:c r="B16" s="57" t="str">
        <x:f>IF(AND(B5&gt;=3,B5&lt;=5,B6&gt;=1,B7&gt;=1,B8&gt;=B5*2),"READY FOR REVIEW","INCOMPLETE")</x:f>
        <x:v>INCOMPLETE</x:v>
      </x:c>
      <x:c r="C16" s="21" t="str">
        <x:v>Checks sample, device coverage and task rows</x:v>
      </x:c>
    </x:row>
    <x:row r="17" ht="15" hidden="0" customHeight="1">
      <x:c r="A17" s="21" t="str">
        <x:v>Pilot gate</x:v>
      </x:c>
      <x:c r="B17" s="57" t="str">
        <x:f>IF(B16&lt;&gt;"READY FOR REVIEW","INCOMPLETE",IF(OR(B14&gt;0,B15&gt;0,B9&lt;0.8,B13&lt;4),"REVISE","GO"))</x:f>
        <x:v>INCOMPLETE</x:v>
      </x:c>
      <x:c r="C17" s="21" t="str">
        <x:v>Decision aid only; not learning-effectiveness evidence</x:v>
      </x:c>
    </x:row>
    <x:row r="18"/>
    <x:row r="19" ht="15" hidden="0" customHeight="1">
      <x:c r="A19" s="12" t="str">
        <x:v>Decision use</x:v>
      </x:c>
      <x:c r="B19" s="25" t="str">
        <x:v>Priority</x:v>
      </x:c>
      <x:c r="C19" s="13" t="str">
        <x:v>Action</x:v>
      </x:c>
    </x:row>
    <x:row r="20" ht="15" hidden="0" customHeight="1">
      <x:c r="A20" s="20" t="str">
        <x:v>P0 or P1</x:v>
      </x:c>
      <x:c r="B20" s="20" t="str">
        <x:v>First</x:v>
      </x:c>
      <x:c r="C20" s="20" t="str">
        <x:v>Fix blocking issue, then repeat the same protocol.</x:v>
      </x:c>
    </x:row>
    <x:row r="21" ht="15" hidden="0" customHeight="1">
      <x:c r="A21" s="21" t="str">
        <x:v>Repeated friction</x:v>
      </x:c>
      <x:c r="B21" s="21" t="str">
        <x:v>Second</x:v>
      </x:c>
      <x:c r="C21" s="21" t="str">
        <x:v>Prioritize patterns observed in at least two participants.</x:v>
      </x:c>
    </x:row>
    <x:row r="22" ht="15" hidden="0" customHeight="1">
      <x:c r="A22" s="21" t="str">
        <x:v>Attraction below 4</x:v>
      </x:c>
      <x:c r="B22" s="21" t="str">
        <x:v>Third</x:v>
      </x:c>
      <x:c r="C22" s="21" t="str">
        <x:v>Review feedback, challenge pacing and task-goal copy.</x:v>
      </x:c>
    </x:row>
    <x:row r="23" ht="15" hidden="0" customHeight="1">
      <x:c r="A23" s="21" t="str">
        <x:v>Balance or scoring</x:v>
      </x:c>
      <x:c r="B23" s="21" t="str">
        <x:v>Separate release</x:v>
      </x:c>
      <x:c r="C23" s="21" t="str">
        <x:v>Do not change frozen balance from this workbook alone.</x:v>
      </x:c>
    </x:row>
  </x:sheetData>
  <x:conditionalFormatting sqref="B16:B17">
    <x:cfRule type="containsText" dxfId="0" priority="1" operator="containsText" text="INCOMPLETE"/>
  </x:conditionalFormatting>
  <x:conditionalFormatting sqref="B17:B17">
    <x:cfRule type="containsText" dxfId="1" priority="2" operator="containsText" text="REVISE"/>
    <x:cfRule type="containsText" dxfId="2" priority="3" operator="containsText" text="GO"/>
  </x:conditionalFormatting>
  <x:pageMargins left="0.7" right="0.7" top="0.75" bottom="0.75" header="0.3" footer="0.3"/>
</x:worksheet>
</file>